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shaKrishan\Documents\Audit\"/>
    </mc:Choice>
  </mc:AlternateContent>
  <xr:revisionPtr revIDLastSave="0" documentId="8_{49E1E5B5-9247-4C7D-A52F-4F56490B1B6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verview &amp; Scores" sheetId="2" r:id="rId1"/>
    <sheet name="1" sheetId="3" r:id="rId2"/>
    <sheet name="2" sheetId="4" r:id="rId3"/>
    <sheet name="3" sheetId="18" r:id="rId4"/>
    <sheet name="4" sheetId="19" r:id="rId5"/>
    <sheet name="5" sheetId="5" r:id="rId6"/>
    <sheet name="6" sheetId="6" r:id="rId7"/>
    <sheet name="7" sheetId="7" r:id="rId8"/>
    <sheet name="8" sheetId="8" r:id="rId9"/>
    <sheet name="9" sheetId="9" r:id="rId10"/>
    <sheet name="10" sheetId="10" r:id="rId11"/>
    <sheet name="11" sheetId="11" r:id="rId12"/>
    <sheet name="12" sheetId="12" r:id="rId13"/>
    <sheet name="13" sheetId="13" r:id="rId14"/>
    <sheet name="14" sheetId="14" r:id="rId15"/>
    <sheet name="Validation" sheetId="38" state="hidden" r:id="rId16"/>
    <sheet name="Action Plan" sheetId="37" r:id="rId17"/>
    <sheet name="References" sheetId="16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2" l="1"/>
  <c r="E14" i="18" a="1"/>
  <c r="E14" i="18" s="1"/>
  <c r="E15" i="18" s="1"/>
  <c r="D10" i="2" s="1"/>
  <c r="E17" i="3"/>
  <c r="E13" i="19"/>
  <c r="E14" i="19" s="1"/>
  <c r="D11" i="2" l="1"/>
  <c r="E13" i="14" l="1"/>
  <c r="E14" i="14" s="1"/>
  <c r="D21" i="2" s="1"/>
  <c r="E12" i="13"/>
  <c r="E13" i="13" s="1"/>
  <c r="D20" i="2" s="1"/>
  <c r="E19" i="12"/>
  <c r="E20" i="12" s="1"/>
  <c r="E13" i="11"/>
  <c r="E14" i="11" s="1"/>
  <c r="E15" i="10"/>
  <c r="E16" i="10" s="1"/>
  <c r="D17" i="2" s="1"/>
  <c r="E16" i="9"/>
  <c r="E13" i="8"/>
  <c r="E14" i="8" s="1"/>
  <c r="D15" i="2" s="1"/>
  <c r="E14" i="7"/>
  <c r="E15" i="7" s="1"/>
  <c r="D14" i="2" s="1"/>
  <c r="E18" i="6"/>
  <c r="E20" i="5"/>
  <c r="E18" i="4"/>
  <c r="E19" i="4" s="1"/>
  <c r="D9" i="2" s="1"/>
  <c r="E18" i="3"/>
  <c r="D8" i="2" s="1"/>
  <c r="E19" i="6" l="1"/>
  <c r="D13" i="2" s="1"/>
  <c r="E21" i="5"/>
  <c r="D12" i="2" s="1"/>
  <c r="D18" i="2"/>
  <c r="E17" i="9"/>
  <c r="D16" i="2" s="1"/>
  <c r="D2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<sst xmlns="http://schemas.openxmlformats.org/spreadsheetml/2006/main" count="351" uniqueCount="251">
  <si>
    <t>Management</t>
  </si>
  <si>
    <t>Environmental Cleaning</t>
  </si>
  <si>
    <t>Bedrooms</t>
  </si>
  <si>
    <t>Hand Hygiene</t>
  </si>
  <si>
    <t>Personal Protective Equipment</t>
  </si>
  <si>
    <t xml:space="preserve">Management of Sharps </t>
  </si>
  <si>
    <t>Management of Laundry</t>
  </si>
  <si>
    <t>Waste Management</t>
  </si>
  <si>
    <t>Outbreaks</t>
  </si>
  <si>
    <t xml:space="preserve">Scores 75% or below are non-compliant. </t>
  </si>
  <si>
    <t xml:space="preserve">Comments </t>
  </si>
  <si>
    <t>Staff receive annual infection control update training and records available.</t>
  </si>
  <si>
    <t xml:space="preserve">Score </t>
  </si>
  <si>
    <t>Overall %</t>
  </si>
  <si>
    <t>Score</t>
  </si>
  <si>
    <t xml:space="preserve">Overall % </t>
  </si>
  <si>
    <t>Ensuite Rooms -</t>
  </si>
  <si>
    <t>There are facilities available for all visitors to perform hand hygiene.</t>
  </si>
  <si>
    <t>Sharps containers are disposed of every 3 months.</t>
  </si>
  <si>
    <t xml:space="preserve">The sharps container does not contain in any inappropriate items such as cotton wool, packaging etc. </t>
  </si>
  <si>
    <t xml:space="preserve">Sharps containers are used at point of practice. </t>
  </si>
  <si>
    <t xml:space="preserve">There is a written procedure in place for the management of blood and body fluid spillages. </t>
  </si>
  <si>
    <t xml:space="preserve">Dedicated spillage kits are available for the decontamination of blood and body fluid spillages and staff are aware of the location of kits. </t>
  </si>
  <si>
    <t xml:space="preserve">Appropriate PPE is worn when spillages are being cleared. </t>
  </si>
  <si>
    <t xml:space="preserve">Specimens of blood and body fluids are disposed of correctly and not down hand wash basins. </t>
  </si>
  <si>
    <t>Soiled linen which is bagged is taken straight to the laundry.</t>
  </si>
  <si>
    <t>Washing machines have sufficient capacity to launder efficiently.</t>
  </si>
  <si>
    <t>Sluice</t>
  </si>
  <si>
    <t xml:space="preserve">Staff who come in contact with blood and body fluids have been immunised against Hep B. (Records are available) and those who refuse risk assessment is completed. </t>
  </si>
  <si>
    <t xml:space="preserve">There is a designated hand wash sink in the Treatment room. </t>
  </si>
  <si>
    <t xml:space="preserve">All medical items are stored correctly and not at floor level. </t>
  </si>
  <si>
    <t xml:space="preserve">All equipment is stored correctly, and there are no inappropriate items in the sluice room. </t>
  </si>
  <si>
    <t xml:space="preserve">There are appropriate waste bins for the disposal of household waste and clinical waste. </t>
  </si>
  <si>
    <t>Council Directive 2010/32/EU (2010) Implementing the framework agreement on prevention from sharps injuries in the hospital and health care sector.</t>
  </si>
  <si>
    <t xml:space="preserve">eur-lex.europa.eu/legal-content/EN/TXT/?uri=celex%3A32010L0032. </t>
  </si>
  <si>
    <t>The Health and Social Care Act 2008: The code of practice on the prevention and control of infections and related guidance. (Department of Health, 2010)</t>
  </si>
  <si>
    <t>Prevention and Control of Infection in Care Homes (Department of Health (2013)</t>
  </si>
  <si>
    <t>New Healthcare workers: clearance for Hepatitis B and C, TB HIV. (Department of Health, 2007)</t>
  </si>
  <si>
    <t>Infection control in the built environment (HBN 00-09) (Department of Health 2013)</t>
  </si>
  <si>
    <t>Design for flooring, walls, ceilings, sanitary ware and windows (HBN 00-10) part A (Department of Health, 2013)</t>
  </si>
  <si>
    <t>Health Building Note 00-10 Part B: Walls and ceilings (Department of Health, 2013)</t>
  </si>
  <si>
    <t>Health Building Note 00-10 Part C: Sanitary Assemblies (Department of Health, 2013)</t>
  </si>
  <si>
    <t>HTM 07-01 Safe management of health care waste (edition 2) (Department of Health, 2011)</t>
  </si>
  <si>
    <t>Health Technical Memorandum 04-01 Part A. The control of Legionella, hygiene, “safe” hot water, cold-water and drinking water systems: design, installation and testing. (Department of 2006).</t>
  </si>
  <si>
    <t>Health Technical Memorandum 04-01 Part B. The control of Legionella, hygiene, “safe” hot water, cold-water and drinking water systems: operational management. (Department of Health, 2006).</t>
  </si>
  <si>
    <t>Water systems: Health Technical Memorandum 04-01: Addendum</t>
  </si>
  <si>
    <t>Health and safety in care homes (Health and Safety Executive, 2014)</t>
  </si>
  <si>
    <t>Background to EU Directive : Health and Safety (Sharps Instruments in Healthcare) Regulations 2013 ( Health and Safety Executive, 2013).</t>
  </si>
  <si>
    <t xml:space="preserve">http://www.hse.gov.uk/healthservices/needlesticks/eu-directive.htm. </t>
  </si>
  <si>
    <t>Blood-borne viruses in the workplace: Guidance for employers and employees (Health and Safety Executive, 2001)</t>
  </si>
  <si>
    <t>Legionnaires' disease. The control of legionella bacteria in water systems (Health and Safety Executive, 2013)</t>
  </si>
  <si>
    <t>RIDDOR - Reporting of Injuries, Diseases and Dangerous Occurrences Regulations 1995. Health and Safety Executive.</t>
  </si>
  <si>
    <t xml:space="preserve">www.hse.gov.uk/riddor. </t>
  </si>
  <si>
    <t>COSHH regulations (Amendment 2003) HMSO: London. (Health and Safety Executive, 2003)</t>
  </si>
  <si>
    <t>www.hse.gov.uk/coshh.</t>
  </si>
  <si>
    <t xml:space="preserve">Guidelines for the management of norovirus outbreaks in acute and community heath and social care settings. (Health Protection Agency, 2012) </t>
  </si>
  <si>
    <t>Guidelines for the control &amp; prevention of MRSA in healthcare facilities by the Joint BSAC/HIS/ICNA working party on MRSA. Journal of Hospital Infection 2006; 63: Supplement 1 S1-S70.</t>
  </si>
  <si>
    <t xml:space="preserve">www.journalofhospitalinfection.com/article/S0195-6701(06)00002-8/fulltext. </t>
  </si>
  <si>
    <t>Loveday HP, Wilson JA, Pratt RJ et al. (2014) epic3: National evidence-based guidelines for preventing healthcare-associated infections in NHS hospitals in England, recommendation SP6.</t>
  </si>
  <si>
    <t>Sharps safety: RCN guidance to support implementation of the EU Directive 2010/32/EU on the prevention of sharps injuries in the health care sector. (Royal College of Nursing, 2011)</t>
  </si>
  <si>
    <t>The revised Healthcare Cleaning Manual (National Patient Safety Agency, 2009)</t>
  </si>
  <si>
    <t>National specifications for cleanliness in the NHS. (National Patient Safety Agency. 2007).</t>
  </si>
  <si>
    <t>Colour coding hospital cleaning materials and equipment. Safer Practice Notice 15. (National Patient Safety Agency, 2007)</t>
  </si>
  <si>
    <t>Healthcare-associated infections  NICE quality standard [QS113] (NICE, 2016)</t>
  </si>
  <si>
    <t xml:space="preserve">https://www.nice.org.uk/guidance/qs113. </t>
  </si>
  <si>
    <t>Infection Prevention and Control (NICE Quality Standard 61) (NICE, 2014)</t>
  </si>
  <si>
    <t>Healthcare-associated infections: Prevention and Control in primary and community care (NICE clinical guideline 139) (NICE, 2012)</t>
  </si>
  <si>
    <t xml:space="preserve">Blood Borne Viruses in healthcare workers: report exposures and reduce risk (PHE, 2012) </t>
  </si>
  <si>
    <t xml:space="preserve">Scores  85% and above in all sections are compliant.  </t>
  </si>
  <si>
    <t xml:space="preserve">There is a hand wash sink present in each bathroom/toilet which is clean and in good state of repair. </t>
  </si>
  <si>
    <t>Section 3: Sluice</t>
  </si>
  <si>
    <t>Section 6: Bathrooms</t>
  </si>
  <si>
    <t xml:space="preserve">Section 7: Hand Hygiene </t>
  </si>
  <si>
    <t>Section 10: Blood and Body fluids</t>
  </si>
  <si>
    <t xml:space="preserve">Section 11: Decontamination </t>
  </si>
  <si>
    <t xml:space="preserve">Section 12: Management of Laundry </t>
  </si>
  <si>
    <t xml:space="preserve">Section 13: Waste Management </t>
  </si>
  <si>
    <t xml:space="preserve">Section </t>
  </si>
  <si>
    <t>Area</t>
  </si>
  <si>
    <t>Area Score</t>
  </si>
  <si>
    <t>Overall Score</t>
  </si>
  <si>
    <t>Infection Control Audit</t>
  </si>
  <si>
    <t>Service Name:</t>
  </si>
  <si>
    <t>Date Completed:</t>
  </si>
  <si>
    <t xml:space="preserve">Completed By: </t>
  </si>
  <si>
    <t>Criteria</t>
  </si>
  <si>
    <t>Section</t>
  </si>
  <si>
    <t>Yes / No / NA</t>
  </si>
  <si>
    <t xml:space="preserve">1. Management </t>
  </si>
  <si>
    <t xml:space="preserve">2. Environmental Cleaning </t>
  </si>
  <si>
    <t xml:space="preserve">3. Sluice </t>
  </si>
  <si>
    <t xml:space="preserve">4. Medication Room </t>
  </si>
  <si>
    <t xml:space="preserve">5. Bedrooms </t>
  </si>
  <si>
    <t xml:space="preserve">7. Hand Hygiene </t>
  </si>
  <si>
    <t xml:space="preserve">8. Personal Protective Equipment </t>
  </si>
  <si>
    <t xml:space="preserve">11. Decontamination of Equipment </t>
  </si>
  <si>
    <t xml:space="preserve">12. Management of Laundry </t>
  </si>
  <si>
    <t>13. Waste Management</t>
  </si>
  <si>
    <t>14. Outbreaks</t>
  </si>
  <si>
    <t xml:space="preserve">Review of Actions Taken </t>
  </si>
  <si>
    <t xml:space="preserve">Date Identified </t>
  </si>
  <si>
    <t>Responsible Person</t>
  </si>
  <si>
    <t xml:space="preserve">Date Action Completed </t>
  </si>
  <si>
    <t>Was Improvement Seen Following Action? (Y/N)</t>
  </si>
  <si>
    <t>Details of results seen following action:</t>
  </si>
  <si>
    <r>
      <t>Was further action required? (Y/N)</t>
    </r>
    <r>
      <rPr>
        <sz val="8"/>
        <color theme="1"/>
        <rFont val="Calibri"/>
        <family val="2"/>
        <scheme val="minor"/>
      </rPr>
      <t xml:space="preserve"> 
(If Y, detail in new row)</t>
    </r>
  </si>
  <si>
    <t>Date Action Reviewed</t>
  </si>
  <si>
    <t>Infection Control Audit Action Plan</t>
  </si>
  <si>
    <t xml:space="preserve">Yes </t>
  </si>
  <si>
    <t>No</t>
  </si>
  <si>
    <t>Section 1: Management</t>
  </si>
  <si>
    <t xml:space="preserve">Section 2: Environmental Cleaning </t>
  </si>
  <si>
    <t>Section 4: Medication Room</t>
  </si>
  <si>
    <t>Section 5: Bedrooms</t>
  </si>
  <si>
    <t xml:space="preserve">Section 8: Personal Protective Equipment </t>
  </si>
  <si>
    <t>Section 9: Sharps Management</t>
  </si>
  <si>
    <t>Section 14: Outbreaks</t>
  </si>
  <si>
    <t>Area of Action Required</t>
  </si>
  <si>
    <t>Target Completion Date</t>
  </si>
  <si>
    <t>Details of what has been Identified?</t>
  </si>
  <si>
    <t>Detail of Action Required</t>
  </si>
  <si>
    <t>Review Date:</t>
  </si>
  <si>
    <t xml:space="preserve">Provided by:
Completion Percentage: </t>
  </si>
  <si>
    <t>Information on infectious diseases to be available for Supported Adults and their visitors.</t>
  </si>
  <si>
    <t xml:space="preserve">Staff and Supported Adults to be immunised with the Influenza vaccine. </t>
  </si>
  <si>
    <t>Infection control induction training is available to all staff.</t>
  </si>
  <si>
    <t>There is an identified link person(s) for infection control in the Service.</t>
  </si>
  <si>
    <t>Supported Adults and staff with infections monitored monthly.</t>
  </si>
  <si>
    <t>All staff know how to contact the Health Protection Agency.</t>
  </si>
  <si>
    <t xml:space="preserve">The establishment is free of unpleasant odours. </t>
  </si>
  <si>
    <t>All areas are free of clutter.</t>
  </si>
  <si>
    <t>All Supported Adults seating is upholstered in materials that are impermeable to fluids and is intact with no rips or tears.</t>
  </si>
  <si>
    <t>The cleaners room is kept clean, tidy, uncluttered, and is dedicated for this purpose only.</t>
  </si>
  <si>
    <t>There is a procedure in place for regular decontamination of blinds/ curtains. Curtains/ blinds are visibly clean and free from stains.</t>
  </si>
  <si>
    <t>The floor (including edges and corners) are visibly clean with no visible body substances, dust, dirt, or debris.</t>
  </si>
  <si>
    <r>
      <t xml:space="preserve">All communal areas are visibly clean and dust free.
</t>
    </r>
    <r>
      <rPr>
        <sz val="11"/>
        <color rgb="FF7030A0"/>
        <rFont val="Calibri"/>
        <family val="2"/>
        <scheme val="minor"/>
      </rPr>
      <t>(Including high and low surfaces)</t>
    </r>
  </si>
  <si>
    <r>
      <t xml:space="preserve">Furniture, fixtures, and fittings are visibly clean with no body substances, dust, dirt or debris.
</t>
    </r>
    <r>
      <rPr>
        <sz val="11"/>
        <color rgb="FF7030A0"/>
        <rFont val="Calibri"/>
        <family val="2"/>
        <scheme val="minor"/>
      </rPr>
      <t xml:space="preserve"> (Remember to check under chair pads)</t>
    </r>
  </si>
  <si>
    <r>
      <t>There is a programme of routine cleaning of all areas, including cleaning frequencies.</t>
    </r>
    <r>
      <rPr>
        <sz val="11"/>
        <color rgb="FF7030A0"/>
        <rFont val="Calibri"/>
        <family val="2"/>
        <scheme val="minor"/>
      </rPr>
      <t xml:space="preserve">
(Cleaning schedules checked and seen to be completed appropriately)</t>
    </r>
  </si>
  <si>
    <r>
      <t>Cleaning equipment is colour coded in accordance to National Guidance with evidence seen to show this is being utilised.</t>
    </r>
    <r>
      <rPr>
        <sz val="11"/>
        <color rgb="FF7030A0"/>
        <rFont val="Calibri"/>
        <family val="2"/>
        <scheme val="minor"/>
      </rPr>
      <t xml:space="preserve">
(Check National colour coding poster is also on display) </t>
    </r>
  </si>
  <si>
    <t>Mops and buckets are stored dry/inverted</t>
  </si>
  <si>
    <t>Mop heads are machine-washed weekly. 
Disposable mop heads are changed weekly.</t>
  </si>
  <si>
    <t>Hand washing audits are carried out regularly.</t>
  </si>
  <si>
    <r>
      <t xml:space="preserve">A risk assessment has been completed for the control and management of Legionella according to </t>
    </r>
    <r>
      <rPr>
        <i/>
        <sz val="11"/>
        <color theme="1"/>
        <rFont val="Calibri"/>
        <family val="2"/>
        <scheme val="minor"/>
      </rPr>
      <t>HSE 2013 Legionnaires' Disease: The control of legionella bacteria in water systems</t>
    </r>
    <r>
      <rPr>
        <sz val="11"/>
        <color theme="1"/>
        <rFont val="Calibri"/>
        <family val="2"/>
        <scheme val="minor"/>
      </rPr>
      <t xml:space="preserve"> and is in date.</t>
    </r>
  </si>
  <si>
    <t>Care plan available for Supported Adults with infectious diseases e.g. multi-drug resistant organisms.</t>
  </si>
  <si>
    <t>Care plans available for Supported Adults who have any indwelling invasive devices e.g. urinary catheters, PEG tubes.</t>
  </si>
  <si>
    <r>
      <t>Cleanliness is audited regularly by manager and actioned.</t>
    </r>
    <r>
      <rPr>
        <sz val="11"/>
        <color rgb="FF7030A0"/>
        <rFont val="Calibri"/>
        <family val="2"/>
        <scheme val="minor"/>
      </rPr>
      <t xml:space="preserve">
(Check records and ensure any identified actions are updated/signed off)</t>
    </r>
  </si>
  <si>
    <t xml:space="preserve">There is a BED PAN WASHER  which is clean, in working order and is correctly maintained. </t>
  </si>
  <si>
    <t xml:space="preserve">The walls, sink, grouting, and splashbacks are intact and visibly clean. </t>
  </si>
  <si>
    <t>There is a designated hand wash sink, which is in a good state of repair and clean.</t>
  </si>
  <si>
    <t>There are no inappropriate items stored in the medical fridge.</t>
  </si>
  <si>
    <t>Fixtures and fittings are visibly clean with no body substances, dust, dirt, or debris.</t>
  </si>
  <si>
    <t>Mattresses and covers are in good condition. 
All mattresses have passed mattress test.
(Check records available)</t>
  </si>
  <si>
    <t xml:space="preserve">Furniture such as lockers, wardrobes, bedside tables, and chairs are visibly clean. </t>
  </si>
  <si>
    <t>All surfaces at high and low level are clean and free from dust and debris.</t>
  </si>
  <si>
    <t>Bed frames and side rails are clean, and free from stains.</t>
  </si>
  <si>
    <t>Taps and hand wash basins are clean.</t>
  </si>
  <si>
    <t>Clients have individual towels and toiletries.</t>
  </si>
  <si>
    <t>The hand wash basins, and taps are clean and in a good state of repair.</t>
  </si>
  <si>
    <t xml:space="preserve">  Floors are covered in washable flooring and is clean, and intact.</t>
  </si>
  <si>
    <t>Walls, tiles, and grouting are clean and in tact.</t>
  </si>
  <si>
    <t>En-suites are free from clutter and inappropriate items.</t>
  </si>
  <si>
    <t>Toilet brushes and holders are clean and free from debris.</t>
  </si>
  <si>
    <t>Toilets are clean, and free from stains and limescale.</t>
  </si>
  <si>
    <t>Medical equipment devices is stored appropriately e.g. off the floor, in an appropriate cupboard or storage box.</t>
  </si>
  <si>
    <t>There is equipment to clean the bath(s) between uses, and it is stored correctly.</t>
  </si>
  <si>
    <t>Toilet brush and holders are clean and free from debris.</t>
  </si>
  <si>
    <t>Residents are offered hand hygiene after using the toilet.</t>
  </si>
  <si>
    <t>Paper towels and liquid soap are available in wall mounted dispensers in each bathroom, and dispensers are visibly clean.</t>
  </si>
  <si>
    <r>
      <t xml:space="preserve">Appropriate waste bins are available. 
</t>
    </r>
    <r>
      <rPr>
        <sz val="11"/>
        <color rgb="FF7030A0"/>
        <rFont val="Calibri"/>
        <family val="2"/>
        <scheme val="minor"/>
      </rPr>
      <t xml:space="preserve">(Domestic and Offensive) </t>
    </r>
  </si>
  <si>
    <t>Bath mats/rubber mats stored clean and dry.</t>
  </si>
  <si>
    <r>
      <t xml:space="preserve">No inappropriate items stored in bathroom. 
</t>
    </r>
    <r>
      <rPr>
        <sz val="11"/>
        <color rgb="FF7030A0"/>
        <rFont val="Calibri"/>
        <family val="2"/>
        <scheme val="minor"/>
      </rPr>
      <t>(Linen, commodes, communal items etc)</t>
    </r>
  </si>
  <si>
    <t>Toilet basins are visibly clean with no body substances, dust, limescale stains, deposits, or smears, and toilet seat free from cracks or chips.</t>
  </si>
  <si>
    <r>
      <t xml:space="preserve">Bath and bath hoist cleaned after each use. 
</t>
    </r>
    <r>
      <rPr>
        <sz val="11"/>
        <color rgb="FF7030A0"/>
        <rFont val="Calibri"/>
        <family val="2"/>
        <scheme val="minor"/>
      </rPr>
      <t>(Remember to check under chair)</t>
    </r>
  </si>
  <si>
    <r>
      <t xml:space="preserve">Shower chairs and raised toilet seats are visibly clean.  
</t>
    </r>
    <r>
      <rPr>
        <sz val="11"/>
        <color rgb="FF7030A0"/>
        <rFont val="Calibri"/>
        <family val="2"/>
        <scheme val="minor"/>
      </rPr>
      <t>(Remember to check underside)</t>
    </r>
  </si>
  <si>
    <r>
      <t xml:space="preserve">Floor is completely impermeable 
</t>
    </r>
    <r>
      <rPr>
        <sz val="11"/>
        <color rgb="FF7030A0"/>
        <rFont val="Calibri"/>
        <family val="2"/>
        <scheme val="minor"/>
      </rPr>
      <t>(i.e. no carpets and edges are sealed.)</t>
    </r>
  </si>
  <si>
    <t>Staff have access to a the services Hand Hygiene Policy.</t>
  </si>
  <si>
    <t>There is provision for staff to carry out hand hygiene in each residents room. 
(i.e. liquid soap and paper towels in wall mounted dispensers)</t>
  </si>
  <si>
    <t>The handwash basins, taps, grouting, and splashbacks are clean and in a good state of repair.</t>
  </si>
  <si>
    <r>
      <t xml:space="preserve">Staff are bare below the elbows at all times. 
</t>
    </r>
    <r>
      <rPr>
        <sz val="11"/>
        <color rgb="FF7030A0"/>
        <rFont val="Calibri"/>
        <family val="2"/>
        <scheme val="minor"/>
      </rPr>
      <t>(i.e. NO bracelets, watches, stoned rings, wearing nail varnish, nail extensions or gel nails - Exception 1 plain wedding band)</t>
    </r>
  </si>
  <si>
    <t>There are hand wash posters at each hand wash sink (not in Adults rooms).</t>
  </si>
  <si>
    <r>
      <t xml:space="preserve">Staff have access to alcohol hand gel (bottles or dispensers) and know when and how to use it.
</t>
    </r>
    <r>
      <rPr>
        <sz val="11"/>
        <color rgb="FF7030A0"/>
        <rFont val="Calibri"/>
        <family val="2"/>
        <scheme val="minor"/>
      </rPr>
      <t>(Randomly question members of staff)</t>
    </r>
  </si>
  <si>
    <r>
      <t xml:space="preserve">Staff know about the 5 moments of hand hygiene.
</t>
    </r>
    <r>
      <rPr>
        <sz val="11"/>
        <color rgb="FF7030A0"/>
        <rFont val="Calibri"/>
        <family val="2"/>
        <scheme val="minor"/>
      </rPr>
      <t>(Randomly question members of staff)</t>
    </r>
  </si>
  <si>
    <r>
      <t xml:space="preserve">Staff are audited on hand hygiene monthly until 100% then 6 monthly onwards. 
</t>
    </r>
    <r>
      <rPr>
        <sz val="11"/>
        <color rgb="FF7030A0"/>
        <rFont val="Calibri"/>
        <family val="2"/>
        <scheme val="minor"/>
      </rPr>
      <t>(Ensure records are available)</t>
    </r>
  </si>
  <si>
    <t>There is a policy on the use of Personal Protective Equipment.</t>
  </si>
  <si>
    <r>
      <t xml:space="preserve">All staff have access to approved protective clothing as needed. 
</t>
    </r>
    <r>
      <rPr>
        <sz val="11"/>
        <color rgb="FF7030A0"/>
        <rFont val="Calibri"/>
        <family val="2"/>
        <scheme val="minor"/>
      </rPr>
      <t>(e.g. gloves and aprons)</t>
    </r>
  </si>
  <si>
    <r>
      <t xml:space="preserve">Gloves and aprons are not carried in uniform pockets.
</t>
    </r>
    <r>
      <rPr>
        <sz val="11"/>
        <color rgb="FF7030A0"/>
        <rFont val="Calibri"/>
        <family val="2"/>
        <scheme val="minor"/>
      </rPr>
      <t>(Must be stored appropriately and readily available)</t>
    </r>
  </si>
  <si>
    <r>
      <t>Staff wear and change protective clothing appropriately.</t>
    </r>
    <r>
      <rPr>
        <sz val="11"/>
        <color rgb="FF7030A0"/>
        <rFont val="Calibri"/>
        <family val="2"/>
        <scheme val="minor"/>
      </rPr>
      <t xml:space="preserve">
(i.e. between different tasks on same client when dealing with bodily fluids)</t>
    </r>
  </si>
  <si>
    <r>
      <t xml:space="preserve">Staff do not wear PPE inappropriately 
</t>
    </r>
    <r>
      <rPr>
        <sz val="11"/>
        <color rgb="FF7030A0"/>
        <rFont val="Calibri"/>
        <family val="2"/>
        <scheme val="minor"/>
      </rPr>
      <t>(i.e. in corridors, offices etc.)</t>
    </r>
  </si>
  <si>
    <t>Sterile and non-sterile gloves conform to European Standards (are vinyl and latex free) and there are an appropriate range of glove sizes available.</t>
  </si>
  <si>
    <t>All PPE is disposed of as clinical/offensive waste.</t>
  </si>
  <si>
    <t>Blue gloves and aprons are used for catering purposes only.</t>
  </si>
  <si>
    <t>There is a written procedure for the management of sharps, and for the management of needle stick injury.</t>
  </si>
  <si>
    <t>All sharps devices are compliant with EU legislation on safe sharps or risk assessment is in place.</t>
  </si>
  <si>
    <t>Staff are aware of first aid measures in event of needle stick injury or exposure to blood or body fluids.</t>
  </si>
  <si>
    <t>Sharps containers are of approved design and CE marked.</t>
  </si>
  <si>
    <t xml:space="preserve">Sharps containers are assembled correctly, are signed and dated when assembled, and when permanently locked. </t>
  </si>
  <si>
    <t>Sharps containers are no more than ¾ full.</t>
  </si>
  <si>
    <t>The temporary closure mechanism is used when the sharps containers are not in use.</t>
  </si>
  <si>
    <r>
      <t xml:space="preserve">Locked/full sharps containers are locked in a designated waste storage area.
</t>
    </r>
    <r>
      <rPr>
        <sz val="11"/>
        <color rgb="FF7030A0"/>
        <rFont val="Calibri"/>
        <family val="2"/>
        <scheme val="minor"/>
      </rPr>
      <t>(Not in treatment room)</t>
    </r>
  </si>
  <si>
    <t>There is a steam cleaner available for enhanced cleaning of body fluid spills.</t>
  </si>
  <si>
    <t>There is a policy/ guidelines on collection, storage and transport of laboratory specimens.</t>
  </si>
  <si>
    <t>There are leak proof containers for clinical specimens.</t>
  </si>
  <si>
    <t>Request forms are placed separately in the pockets of transport bags.</t>
  </si>
  <si>
    <t>Specimens are stored safely prior to collection in a solid sided tray or container.</t>
  </si>
  <si>
    <r>
      <t xml:space="preserve">There are arrangements for the safe transport of specimens to the hospital. </t>
    </r>
    <r>
      <rPr>
        <sz val="11"/>
        <color rgb="FF7030A0"/>
        <rFont val="Calibri"/>
        <family val="2"/>
        <scheme val="minor"/>
      </rPr>
      <t>(Either by approved arrangements with Royal Mail or via a courier)</t>
    </r>
  </si>
  <si>
    <r>
      <t xml:space="preserve">All equipment is decontaminated appropriately between each use. 
</t>
    </r>
    <r>
      <rPr>
        <sz val="11"/>
        <color rgb="FF7030A0"/>
        <rFont val="Calibri"/>
        <family val="2"/>
        <scheme val="minor"/>
      </rPr>
      <t>(e.g. hoists, wheelchairs commodes etc. Make sure to check a selection of items)</t>
    </r>
  </si>
  <si>
    <t>Medical devices, such as blood monitoring machines, feeding pumps etc. are cleaned appropriately, according to manufacturers guidance, and are visibly clean and free of dust, dirt, and debris.</t>
  </si>
  <si>
    <t xml:space="preserve"> All clients requiring hoisting have there own personal sling which is labelled and washed appropriately.</t>
  </si>
  <si>
    <r>
      <t xml:space="preserve">There is a cleaning program for decontamination of residents personal mobility equipment, such as wheelchairs/walking aids etc. As well as audit and monitoring system in place. 
</t>
    </r>
    <r>
      <rPr>
        <sz val="11"/>
        <color rgb="FF7030A0"/>
        <rFont val="Calibri"/>
        <family val="2"/>
        <scheme val="minor"/>
      </rPr>
      <t>(Check records available)</t>
    </r>
  </si>
  <si>
    <r>
      <t xml:space="preserve">All staff are aware of symbol for single use only.
</t>
    </r>
    <r>
      <rPr>
        <sz val="11"/>
        <color rgb="FF7030A0"/>
        <rFont val="Calibri"/>
        <family val="2"/>
        <scheme val="minor"/>
      </rPr>
      <t>(Randomly question members of staff)</t>
    </r>
  </si>
  <si>
    <t>Mattress audits are being completed and records are available.</t>
  </si>
  <si>
    <r>
      <t xml:space="preserve">There is no evidence that single use items are being reused. 
</t>
    </r>
    <r>
      <rPr>
        <sz val="11"/>
        <color rgb="FF7030A0"/>
        <rFont val="Calibri"/>
        <family val="2"/>
        <scheme val="minor"/>
      </rPr>
      <t>(e.g. appropriate syringes used for enteral feeding etc)</t>
    </r>
  </si>
  <si>
    <t>Rooms are deep cleaned following outbreak, if the Adult is infected with Clostridium difficile, or if the room is vacated.</t>
  </si>
  <si>
    <t xml:space="preserve">Soiled linen should be placed in red alginate bags which dissolve completely during wash. </t>
  </si>
  <si>
    <t>Staff have access to a Laundry Policy.</t>
  </si>
  <si>
    <t xml:space="preserve">There are arrangements for laundering of supported Adults clothing, and linen. </t>
  </si>
  <si>
    <t>There is a Dirty to Clean flow of linen through the laundry.</t>
  </si>
  <si>
    <t xml:space="preserve">Linen and Adults clothing is visibly clean. </t>
  </si>
  <si>
    <t>PPE is used appropriately when handling linen in the laundry.</t>
  </si>
  <si>
    <t>Clean linen is stored in a clean, dry enclosed storage and is protected from dust and contamination.</t>
  </si>
  <si>
    <r>
      <t xml:space="preserve">There is a programme for maintenance and validation of on-site washing machines. 
</t>
    </r>
    <r>
      <rPr>
        <sz val="11"/>
        <color rgb="FF7030A0"/>
        <rFont val="Calibri"/>
        <family val="2"/>
        <scheme val="minor"/>
      </rPr>
      <t>(At least annually)</t>
    </r>
  </si>
  <si>
    <t>There is a designated hand wash sink which is clean, easily accessible, and in good state of repair.</t>
  </si>
  <si>
    <t>The laundry room is seen to be clean, tidy, and fit for purpose.</t>
  </si>
  <si>
    <t xml:space="preserve">There is a Waste Policy available. </t>
  </si>
  <si>
    <t>Staff responsible for the handling and management of linen have received appropriate training.</t>
  </si>
  <si>
    <r>
      <t xml:space="preserve">Used, soiled, and foul linen are laundered as per policy 
</t>
    </r>
    <r>
      <rPr>
        <sz val="11"/>
        <color rgb="FF7030A0"/>
        <rFont val="Calibri"/>
        <family val="2"/>
        <scheme val="minor"/>
      </rPr>
      <t>(i.e. separately, at correct temperature)</t>
    </r>
  </si>
  <si>
    <t>There is a Household Waste bin with liner in each Adult's room.</t>
  </si>
  <si>
    <r>
      <t xml:space="preserve">Clinical/Offensive waste is collected by a registered waste carrier. 
</t>
    </r>
    <r>
      <rPr>
        <sz val="11"/>
        <color rgb="FF7030A0"/>
        <rFont val="Calibri"/>
        <family val="2"/>
        <scheme val="minor"/>
      </rPr>
      <t>(Ensure records are available if required)</t>
    </r>
  </si>
  <si>
    <r>
      <t xml:space="preserve">All Clinical Waste bins are foot pedal operated, enclosed, lidded, visibly clean, and in good working order. 
</t>
    </r>
    <r>
      <rPr>
        <sz val="11"/>
        <color rgb="FF7030A0"/>
        <rFont val="Calibri"/>
        <family val="2"/>
        <scheme val="minor"/>
      </rPr>
      <t>(Check underside of lid)</t>
    </r>
  </si>
  <si>
    <r>
      <t xml:space="preserve">There is evidence of waste being correctly segregated into Clinical/Offensive and Household waste, and disposed of in the correct colour bags. 
</t>
    </r>
    <r>
      <rPr>
        <sz val="11"/>
        <color rgb="FF7030A0"/>
        <rFont val="Calibri"/>
        <family val="2"/>
        <scheme val="minor"/>
      </rPr>
      <t>(There is signage on display to demonstrate this)</t>
    </r>
  </si>
  <si>
    <r>
      <t xml:space="preserve">There is a clean, </t>
    </r>
    <r>
      <rPr>
        <b/>
        <u/>
        <sz val="11"/>
        <color theme="1"/>
        <rFont val="Calibri"/>
        <family val="2"/>
        <scheme val="minor"/>
      </rPr>
      <t>locked and dedicated</t>
    </r>
    <r>
      <rPr>
        <sz val="11"/>
        <color theme="1"/>
        <rFont val="Calibri"/>
        <family val="2"/>
        <scheme val="minor"/>
      </rPr>
      <t xml:space="preserve"> room for the storage of Clinical/Offensive Waste.</t>
    </r>
  </si>
  <si>
    <t xml:space="preserve">Waste bins are no more than 2/3's full. </t>
  </si>
  <si>
    <t>Staff have access to a policy on Outbreak Management, which includes recognition of outbreaks and who to refer to for advice.</t>
  </si>
  <si>
    <t>ICT are contacted immediately on suspicion outbreak.</t>
  </si>
  <si>
    <r>
      <t>Staff know procedures to implement in the event of an outbreak of diarrhoea and vomiting.</t>
    </r>
    <r>
      <rPr>
        <sz val="11"/>
        <color rgb="FF7030A0"/>
        <rFont val="Calibri"/>
        <family val="2"/>
        <scheme val="minor"/>
      </rPr>
      <t xml:space="preserve">
(Randomly question members of staff)</t>
    </r>
  </si>
  <si>
    <t>There are arrangements in place to ensure there are additional supplies of PPE available during outbreaks.</t>
  </si>
  <si>
    <t>Bristol Stool Chart is used and only type 5 -7 specimens are sent for analysis with ilog number.</t>
  </si>
  <si>
    <t>The list of those affected is updated daily and faxed to the ICT.</t>
  </si>
  <si>
    <r>
      <t xml:space="preserve">The home is deep cleaned following 48 hours clear of symptoms. 
</t>
    </r>
    <r>
      <rPr>
        <sz val="11"/>
        <color rgb="FF7030A0"/>
        <rFont val="Calibri"/>
        <family val="2"/>
        <scheme val="minor"/>
      </rPr>
      <t>(Including walls, curtains, carpets and soft furnishings)</t>
    </r>
  </si>
  <si>
    <t>Enhanced cleaning is implemented in the event of an outbreak using appropriate solution of hypochlorite (e.g. sterilising fluid).</t>
  </si>
  <si>
    <t>Overview &amp; Scores</t>
  </si>
  <si>
    <t>Decontamination of Equipment</t>
  </si>
  <si>
    <t>Management of Blood and Body Fluid Spills</t>
  </si>
  <si>
    <t xml:space="preserve">10. Management of Blood and Body Fluid Spills </t>
  </si>
  <si>
    <t>9. Management of Sharps</t>
  </si>
  <si>
    <t>6. Bathrooms and Toilets (including staff/visitor toilets)</t>
  </si>
  <si>
    <t>Bathrooms and Toilets</t>
  </si>
  <si>
    <t>Medication Room</t>
  </si>
  <si>
    <t>For any issues/areas of non-compliance identified, please ensure the Action Plan tab is completed. 
Actions should be signed off when complete and reviewed after completion to assess if they have fully resolved the issue/resulted in improvements.</t>
  </si>
  <si>
    <t>Action Plan</t>
  </si>
  <si>
    <t xml:space="preserve">Scores between 76% and 84% are partially compliant in all sections.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</si>
</sst>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sz val="12"/>
      <color rgb="FF4A4A4A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theme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0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3" borderId="0" xfId="1" applyFill="1" applyAlignment="1">
      <alignment vertical="center"/>
    </xf>
    <xf numFmtId="0" fontId="6" fillId="3" borderId="0" xfId="0" applyFont="1" applyFill="1" applyAlignment="1">
      <alignment vertical="center"/>
    </xf>
    <xf numFmtId="0" fontId="10" fillId="0" borderId="7" xfId="0" applyFont="1" applyBorder="1" applyAlignment="1">
      <alignment horizontal="center" vertical="center" wrapText="1"/>
    </xf>
    <xf numFmtId="9" fontId="10" fillId="0" borderId="6" xfId="0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9" fontId="10" fillId="0" borderId="19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9" fontId="10" fillId="0" borderId="17" xfId="0" applyNumberFormat="1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9" fontId="8" fillId="0" borderId="3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7" fillId="4" borderId="5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41" xfId="0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>
      <alignment horizontal="center" vertical="center"/>
    </xf>
    <xf numFmtId="0" fontId="7" fillId="0" borderId="32" xfId="0" applyFont="1" applyBorder="1" applyAlignment="1" applyProtection="1">
      <alignment horizontal="center" vertical="center" wrapText="1"/>
      <protection locked="0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2" fontId="0" fillId="0" borderId="39" xfId="0" applyNumberFormat="1" applyBorder="1" applyAlignment="1">
      <alignment horizontal="center" vertical="center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4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45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 wrapText="1"/>
    </xf>
    <xf numFmtId="0" fontId="0" fillId="6" borderId="24" xfId="0" applyFill="1" applyBorder="1" applyAlignment="1" applyProtection="1">
      <alignment horizontal="center" vertical="center"/>
      <protection locked="0"/>
    </xf>
    <xf numFmtId="0" fontId="0" fillId="6" borderId="25" xfId="0" applyFill="1" applyBorder="1" applyAlignment="1" applyProtection="1">
      <alignment horizontal="center" vertical="center"/>
      <protection locked="0"/>
    </xf>
    <xf numFmtId="0" fontId="0" fillId="6" borderId="2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 wrapText="1"/>
    </xf>
    <xf numFmtId="0" fontId="0" fillId="6" borderId="8" xfId="0" applyFill="1" applyBorder="1" applyAlignment="1" applyProtection="1">
      <alignment horizontal="center" vertical="center"/>
      <protection locked="0"/>
    </xf>
    <xf numFmtId="0" fontId="0" fillId="6" borderId="27" xfId="0" applyFill="1" applyBorder="1" applyAlignment="1" applyProtection="1">
      <alignment horizontal="center" vertical="center"/>
      <protection locked="0"/>
    </xf>
    <xf numFmtId="0" fontId="7" fillId="13" borderId="34" xfId="0" applyFont="1" applyFill="1" applyBorder="1" applyAlignment="1">
      <alignment horizontal="center" vertical="center"/>
    </xf>
    <xf numFmtId="0" fontId="8" fillId="13" borderId="12" xfId="0" applyFont="1" applyFill="1" applyBorder="1" applyAlignment="1">
      <alignment horizontal="center" vertical="center"/>
    </xf>
    <xf numFmtId="0" fontId="8" fillId="13" borderId="34" xfId="0" applyFont="1" applyFill="1" applyBorder="1" applyAlignment="1" applyProtection="1">
      <alignment horizontal="center" vertical="center"/>
      <protection locked="0"/>
    </xf>
    <xf numFmtId="0" fontId="8" fillId="13" borderId="11" xfId="0" applyFont="1" applyFill="1" applyBorder="1" applyAlignment="1" applyProtection="1">
      <alignment horizontal="center" vertical="center"/>
      <protection locked="0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 wrapText="1"/>
    </xf>
    <xf numFmtId="0" fontId="0" fillId="6" borderId="29" xfId="0" applyFill="1" applyBorder="1" applyAlignment="1" applyProtection="1">
      <alignment horizontal="center" vertical="center"/>
      <protection locked="0"/>
    </xf>
    <xf numFmtId="0" fontId="0" fillId="6" borderId="30" xfId="0" applyFill="1" applyBorder="1" applyAlignment="1" applyProtection="1">
      <alignment horizontal="center" vertical="center"/>
      <protection locked="0"/>
    </xf>
    <xf numFmtId="0" fontId="2" fillId="0" borderId="10" xfId="1" applyFill="1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 wrapText="1"/>
    </xf>
    <xf numFmtId="0" fontId="2" fillId="0" borderId="8" xfId="1" applyFill="1" applyBorder="1" applyAlignment="1">
      <alignment horizontal="center" vertical="center"/>
    </xf>
    <xf numFmtId="0" fontId="2" fillId="0" borderId="9" xfId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/>
    </xf>
    <xf numFmtId="0" fontId="7" fillId="4" borderId="3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16" borderId="13" xfId="0" applyFill="1" applyBorder="1" applyAlignment="1">
      <alignment horizontal="center" wrapText="1"/>
    </xf>
    <xf numFmtId="0" fontId="0" fillId="16" borderId="2" xfId="0" applyFill="1" applyBorder="1" applyAlignment="1">
      <alignment horizontal="center" wrapText="1"/>
    </xf>
    <xf numFmtId="0" fontId="0" fillId="16" borderId="3" xfId="0" applyFill="1" applyBorder="1" applyAlignment="1">
      <alignment horizontal="center" wrapText="1"/>
    </xf>
    <xf numFmtId="0" fontId="0" fillId="16" borderId="59" xfId="0" applyFill="1" applyBorder="1" applyAlignment="1">
      <alignment horizontal="center" wrapText="1"/>
    </xf>
    <xf numFmtId="0" fontId="0" fillId="16" borderId="4" xfId="0" applyFill="1" applyBorder="1" applyAlignment="1">
      <alignment horizontal="center" wrapText="1"/>
    </xf>
    <xf numFmtId="0" fontId="2" fillId="15" borderId="12" xfId="1" applyFill="1" applyBorder="1" applyAlignment="1">
      <alignment horizontal="center"/>
    </xf>
    <xf numFmtId="0" fontId="2" fillId="15" borderId="34" xfId="1" applyFill="1" applyBorder="1" applyAlignment="1">
      <alignment horizontal="center"/>
    </xf>
    <xf numFmtId="0" fontId="2" fillId="15" borderId="11" xfId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9" fillId="4" borderId="12" xfId="0" applyFont="1" applyFill="1" applyBorder="1" applyAlignment="1" applyProtection="1">
      <alignment horizontal="center" vertical="center" wrapText="1"/>
      <protection locked="0"/>
    </xf>
    <xf numFmtId="0" fontId="9" fillId="4" borderId="34" xfId="0" applyFont="1" applyFill="1" applyBorder="1" applyAlignment="1" applyProtection="1">
      <alignment horizontal="center" vertical="center" wrapText="1"/>
      <protection locked="0"/>
    </xf>
    <xf numFmtId="0" fontId="9" fillId="4" borderId="11" xfId="0" applyFont="1" applyFill="1" applyBorder="1" applyAlignment="1" applyProtection="1">
      <alignment horizontal="center" vertical="center" wrapText="1"/>
      <protection locked="0"/>
    </xf>
    <xf numFmtId="0" fontId="11" fillId="2" borderId="23" xfId="0" applyFont="1" applyFill="1" applyBorder="1" applyAlignment="1">
      <alignment horizontal="center" wrapText="1"/>
    </xf>
    <xf numFmtId="0" fontId="11" fillId="2" borderId="24" xfId="0" applyFont="1" applyFill="1" applyBorder="1" applyAlignment="1">
      <alignment horizontal="center" wrapText="1"/>
    </xf>
    <xf numFmtId="0" fontId="7" fillId="4" borderId="28" xfId="0" applyFont="1" applyFill="1" applyBorder="1" applyAlignment="1">
      <alignment horizontal="center" wrapText="1"/>
    </xf>
    <xf numFmtId="0" fontId="7" fillId="4" borderId="29" xfId="0" applyFont="1" applyFill="1" applyBorder="1" applyAlignment="1">
      <alignment horizontal="center" wrapText="1"/>
    </xf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9" fontId="7" fillId="4" borderId="37" xfId="0" applyNumberFormat="1" applyFont="1" applyFill="1" applyBorder="1" applyAlignment="1">
      <alignment horizontal="center"/>
    </xf>
    <xf numFmtId="9" fontId="7" fillId="4" borderId="38" xfId="0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/>
    </xf>
    <xf numFmtId="0" fontId="1" fillId="8" borderId="40" xfId="0" applyFont="1" applyFill="1" applyBorder="1" applyAlignment="1">
      <alignment horizontal="center"/>
    </xf>
    <xf numFmtId="9" fontId="7" fillId="7" borderId="37" xfId="0" applyNumberFormat="1" applyFont="1" applyFill="1" applyBorder="1" applyAlignment="1">
      <alignment horizontal="center"/>
    </xf>
    <xf numFmtId="9" fontId="7" fillId="7" borderId="38" xfId="0" applyNumberFormat="1" applyFont="1" applyFill="1" applyBorder="1" applyAlignment="1">
      <alignment horizontal="center"/>
    </xf>
    <xf numFmtId="0" fontId="1" fillId="8" borderId="3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7" fillId="7" borderId="28" xfId="0" applyFont="1" applyFill="1" applyBorder="1" applyAlignment="1">
      <alignment horizontal="center"/>
    </xf>
    <xf numFmtId="0" fontId="7" fillId="7" borderId="29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" fillId="10" borderId="48" xfId="0" applyFont="1" applyFill="1" applyBorder="1" applyAlignment="1">
      <alignment horizontal="center"/>
    </xf>
    <xf numFmtId="0" fontId="1" fillId="10" borderId="49" xfId="0" applyFont="1" applyFill="1" applyBorder="1" applyAlignment="1">
      <alignment horizontal="center"/>
    </xf>
    <xf numFmtId="0" fontId="7" fillId="9" borderId="50" xfId="0" applyFont="1" applyFill="1" applyBorder="1" applyAlignment="1">
      <alignment horizontal="center"/>
    </xf>
    <xf numFmtId="0" fontId="7" fillId="9" borderId="51" xfId="0" applyFont="1" applyFill="1" applyBorder="1" applyAlignment="1">
      <alignment horizontal="center"/>
    </xf>
    <xf numFmtId="0" fontId="1" fillId="10" borderId="35" xfId="0" applyFont="1" applyFill="1" applyBorder="1" applyAlignment="1">
      <alignment horizontal="center"/>
    </xf>
    <xf numFmtId="0" fontId="1" fillId="10" borderId="36" xfId="0" applyFont="1" applyFill="1" applyBorder="1" applyAlignment="1">
      <alignment horizontal="center"/>
    </xf>
    <xf numFmtId="9" fontId="7" fillId="9" borderId="37" xfId="0" applyNumberFormat="1" applyFont="1" applyFill="1" applyBorder="1" applyAlignment="1">
      <alignment horizontal="center"/>
    </xf>
    <xf numFmtId="9" fontId="7" fillId="9" borderId="38" xfId="0" applyNumberFormat="1" applyFont="1" applyFill="1" applyBorder="1" applyAlignment="1">
      <alignment horizontal="center"/>
    </xf>
    <xf numFmtId="0" fontId="9" fillId="11" borderId="12" xfId="0" applyFont="1" applyFill="1" applyBorder="1" applyAlignment="1">
      <alignment horizontal="center"/>
    </xf>
    <xf numFmtId="0" fontId="9" fillId="11" borderId="34" xfId="0" applyFont="1" applyFill="1" applyBorder="1" applyAlignment="1">
      <alignment horizontal="center"/>
    </xf>
    <xf numFmtId="0" fontId="9" fillId="11" borderId="11" xfId="0" applyFont="1" applyFill="1" applyBorder="1" applyAlignment="1">
      <alignment horizontal="center"/>
    </xf>
    <xf numFmtId="9" fontId="8" fillId="11" borderId="53" xfId="0" applyNumberFormat="1" applyFont="1" applyFill="1" applyBorder="1" applyAlignment="1">
      <alignment horizontal="center"/>
    </xf>
    <xf numFmtId="9" fontId="8" fillId="11" borderId="4" xfId="0" applyNumberFormat="1" applyFont="1" applyFill="1" applyBorder="1" applyAlignment="1">
      <alignment horizontal="center"/>
    </xf>
    <xf numFmtId="0" fontId="1" fillId="12" borderId="35" xfId="0" applyFont="1" applyFill="1" applyBorder="1" applyAlignment="1">
      <alignment horizontal="center"/>
    </xf>
    <xf numFmtId="0" fontId="1" fillId="12" borderId="36" xfId="0" applyFont="1" applyFill="1" applyBorder="1" applyAlignment="1">
      <alignment horizontal="center"/>
    </xf>
    <xf numFmtId="0" fontId="1" fillId="12" borderId="48" xfId="0" applyFont="1" applyFill="1" applyBorder="1" applyAlignment="1">
      <alignment horizontal="center"/>
    </xf>
    <xf numFmtId="0" fontId="1" fillId="12" borderId="49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9" fillId="13" borderId="13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7" fillId="13" borderId="28" xfId="0" applyFont="1" applyFill="1" applyBorder="1" applyAlignment="1">
      <alignment horizontal="center"/>
    </xf>
    <xf numFmtId="0" fontId="7" fillId="13" borderId="29" xfId="0" applyFont="1" applyFill="1" applyBorder="1" applyAlignment="1">
      <alignment horizontal="center"/>
    </xf>
    <xf numFmtId="0" fontId="1" fillId="14" borderId="23" xfId="0" applyFont="1" applyFill="1" applyBorder="1" applyAlignment="1">
      <alignment horizontal="center"/>
    </xf>
    <xf numFmtId="0" fontId="1" fillId="14" borderId="24" xfId="0" applyFont="1" applyFill="1" applyBorder="1" applyAlignment="1">
      <alignment horizontal="center"/>
    </xf>
    <xf numFmtId="0" fontId="1" fillId="14" borderId="25" xfId="0" applyFont="1" applyFill="1" applyBorder="1" applyAlignment="1">
      <alignment horizontal="center"/>
    </xf>
    <xf numFmtId="9" fontId="7" fillId="13" borderId="29" xfId="0" applyNumberFormat="1" applyFont="1" applyFill="1" applyBorder="1" applyAlignment="1">
      <alignment horizontal="center"/>
    </xf>
    <xf numFmtId="9" fontId="7" fillId="13" borderId="30" xfId="0" applyNumberFormat="1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9" fillId="15" borderId="13" xfId="0" applyFont="1" applyFill="1" applyBorder="1" applyAlignment="1">
      <alignment horizontal="center"/>
    </xf>
    <xf numFmtId="0" fontId="9" fillId="15" borderId="2" xfId="0" applyFont="1" applyFill="1" applyBorder="1" applyAlignment="1">
      <alignment horizontal="center"/>
    </xf>
    <xf numFmtId="0" fontId="7" fillId="15" borderId="3" xfId="0" applyFont="1" applyFill="1" applyBorder="1" applyAlignment="1">
      <alignment horizontal="center"/>
    </xf>
    <xf numFmtId="0" fontId="7" fillId="15" borderId="52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1" fillId="16" borderId="22" xfId="0" applyFont="1" applyFill="1" applyBorder="1" applyAlignment="1">
      <alignment horizontal="center"/>
    </xf>
    <xf numFmtId="9" fontId="7" fillId="15" borderId="53" xfId="0" applyNumberFormat="1" applyFont="1" applyFill="1" applyBorder="1" applyAlignment="1">
      <alignment horizontal="center"/>
    </xf>
    <xf numFmtId="9" fontId="7" fillId="15" borderId="4" xfId="0" applyNumberFormat="1" applyFont="1" applyFill="1" applyBorder="1" applyAlignment="1">
      <alignment horizontal="center"/>
    </xf>
    <xf numFmtId="0" fontId="1" fillId="16" borderId="21" xfId="0" applyFont="1" applyFill="1" applyBorder="1" applyAlignment="1">
      <alignment horizontal="center"/>
    </xf>
    <xf numFmtId="0" fontId="1" fillId="16" borderId="15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9" fontId="7" fillId="5" borderId="37" xfId="0" applyNumberFormat="1" applyFont="1" applyFill="1" applyBorder="1" applyAlignment="1">
      <alignment horizontal="center" vertical="center"/>
    </xf>
    <xf numFmtId="9" fontId="7" fillId="5" borderId="38" xfId="0" applyNumberFormat="1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40" xfId="0" applyFont="1" applyFill="1" applyBorder="1" applyAlignment="1">
      <alignment horizontal="center" vertical="center"/>
    </xf>
    <xf numFmtId="0" fontId="7" fillId="5" borderId="50" xfId="0" applyFont="1" applyFill="1" applyBorder="1" applyAlignment="1">
      <alignment horizontal="center" vertical="center"/>
    </xf>
    <xf numFmtId="0" fontId="7" fillId="5" borderId="51" xfId="0" applyFont="1" applyFill="1" applyBorder="1" applyAlignment="1">
      <alignment horizontal="center" vertical="center"/>
    </xf>
    <xf numFmtId="0" fontId="1" fillId="6" borderId="5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9" fontId="7" fillId="4" borderId="37" xfId="0" applyNumberFormat="1" applyFont="1" applyFill="1" applyBorder="1" applyAlignment="1">
      <alignment horizontal="center" vertical="center"/>
    </xf>
    <xf numFmtId="9" fontId="7" fillId="4" borderId="38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7" fillId="4" borderId="50" xfId="0" applyFont="1" applyFill="1" applyBorder="1" applyAlignment="1">
      <alignment horizontal="center" vertical="center"/>
    </xf>
    <xf numFmtId="0" fontId="7" fillId="4" borderId="51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/>
    </xf>
    <xf numFmtId="0" fontId="9" fillId="7" borderId="34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9" fontId="7" fillId="7" borderId="29" xfId="0" applyNumberFormat="1" applyFont="1" applyFill="1" applyBorder="1" applyAlignment="1">
      <alignment horizontal="center"/>
    </xf>
    <xf numFmtId="9" fontId="7" fillId="7" borderId="30" xfId="0" applyNumberFormat="1" applyFont="1" applyFill="1" applyBorder="1" applyAlignment="1">
      <alignment horizontal="center"/>
    </xf>
    <xf numFmtId="0" fontId="9" fillId="9" borderId="19" xfId="0" applyFont="1" applyFill="1" applyBorder="1" applyAlignment="1">
      <alignment horizont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18" xfId="0" applyFont="1" applyFill="1" applyBorder="1" applyAlignment="1">
      <alignment horizontal="center" wrapText="1"/>
    </xf>
    <xf numFmtId="0" fontId="1" fillId="10" borderId="48" xfId="0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center"/>
    </xf>
    <xf numFmtId="0" fontId="7" fillId="9" borderId="50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9" fontId="7" fillId="9" borderId="37" xfId="0" applyNumberFormat="1" applyFont="1" applyFill="1" applyBorder="1" applyAlignment="1">
      <alignment horizontal="center" vertical="center"/>
    </xf>
    <xf numFmtId="9" fontId="7" fillId="9" borderId="38" xfId="0" applyNumberFormat="1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10" borderId="36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9" fillId="11" borderId="34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7" fillId="11" borderId="50" xfId="0" applyFont="1" applyFill="1" applyBorder="1" applyAlignment="1">
      <alignment horizontal="center" vertical="center"/>
    </xf>
    <xf numFmtId="0" fontId="7" fillId="11" borderId="51" xfId="0" applyFont="1" applyFill="1" applyBorder="1" applyAlignment="1">
      <alignment horizontal="center" vertical="center"/>
    </xf>
    <xf numFmtId="9" fontId="7" fillId="11" borderId="37" xfId="0" applyNumberFormat="1" applyFont="1" applyFill="1" applyBorder="1" applyAlignment="1">
      <alignment horizontal="center" vertical="center"/>
    </xf>
    <xf numFmtId="9" fontId="7" fillId="11" borderId="38" xfId="0" applyNumberFormat="1" applyFont="1" applyFill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/>
    </xf>
    <xf numFmtId="0" fontId="1" fillId="12" borderId="48" xfId="0" applyFont="1" applyFill="1" applyBorder="1" applyAlignment="1">
      <alignment horizontal="center" vertical="center"/>
    </xf>
    <xf numFmtId="0" fontId="1" fillId="12" borderId="49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/>
    </xf>
    <xf numFmtId="0" fontId="9" fillId="13" borderId="34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center"/>
    </xf>
    <xf numFmtId="0" fontId="9" fillId="15" borderId="34" xfId="0" applyFont="1" applyFill="1" applyBorder="1" applyAlignment="1">
      <alignment horizontal="center"/>
    </xf>
    <xf numFmtId="0" fontId="9" fillId="15" borderId="11" xfId="0" applyFont="1" applyFill="1" applyBorder="1" applyAlignment="1">
      <alignment horizontal="center"/>
    </xf>
    <xf numFmtId="9" fontId="7" fillId="15" borderId="37" xfId="0" applyNumberFormat="1" applyFont="1" applyFill="1" applyBorder="1" applyAlignment="1">
      <alignment horizontal="center"/>
    </xf>
    <xf numFmtId="9" fontId="7" fillId="15" borderId="38" xfId="0" applyNumberFormat="1" applyFont="1" applyFill="1" applyBorder="1" applyAlignment="1">
      <alignment horizontal="center"/>
    </xf>
    <xf numFmtId="0" fontId="0" fillId="16" borderId="35" xfId="0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7" fillId="15" borderId="50" xfId="0" applyFont="1" applyFill="1" applyBorder="1" applyAlignment="1">
      <alignment horizontal="center"/>
    </xf>
    <xf numFmtId="0" fontId="7" fillId="15" borderId="51" xfId="0" applyFont="1" applyFill="1" applyBorder="1" applyAlignment="1">
      <alignment horizontal="center"/>
    </xf>
    <xf numFmtId="0" fontId="0" fillId="16" borderId="48" xfId="0" applyFill="1" applyBorder="1" applyAlignment="1">
      <alignment horizontal="center"/>
    </xf>
    <xf numFmtId="0" fontId="0" fillId="16" borderId="49" xfId="0" applyFill="1" applyBorder="1" applyAlignment="1">
      <alignment horizontal="center"/>
    </xf>
    <xf numFmtId="0" fontId="7" fillId="15" borderId="56" xfId="0" applyFont="1" applyFill="1" applyBorder="1" applyAlignment="1">
      <alignment horizontal="center" vertical="center"/>
    </xf>
    <xf numFmtId="0" fontId="7" fillId="15" borderId="57" xfId="0" applyFont="1" applyFill="1" applyBorder="1" applyAlignment="1">
      <alignment horizontal="center" vertical="center"/>
    </xf>
    <xf numFmtId="0" fontId="7" fillId="15" borderId="5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8">
    <dxf>
      <font>
        <b val="0"/>
        <i val="0"/>
      </font>
      <fill>
        <patternFill>
          <bgColor rgb="FF00B05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auto="1"/>
        </vertic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rgb="FFFF99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rgb="FFFF99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family val="2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colors>
    <mruColors>
      <color rgb="FFFFEBFF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09396730033022"/>
          <c:y val="5.9765529308836399E-2"/>
          <c:w val="0.73943349566853278"/>
          <c:h val="0.48905103528725574"/>
        </c:manualLayout>
      </c:layout>
      <c:barChart>
        <c:barDir val="col"/>
        <c:grouping val="clustered"/>
        <c:varyColors val="0"/>
        <c:ser>
          <c:idx val="0"/>
          <c:order val="0"/>
          <c:tx>
            <c:v>Score</c:v>
          </c:tx>
          <c:invertIfNegative val="0"/>
          <c:cat>
            <c:strRef>
              <c:f>'Overview &amp; Scores'!$C$8:$C$21</c:f>
              <c:strCache>
                <c:ptCount val="14"/>
                <c:pt idx="0">
                  <c:v>Management</c:v>
                </c:pt>
                <c:pt idx="1">
                  <c:v>Environmental Cleaning</c:v>
                </c:pt>
                <c:pt idx="2">
                  <c:v>Sluice</c:v>
                </c:pt>
                <c:pt idx="3">
                  <c:v>Medication Room</c:v>
                </c:pt>
                <c:pt idx="4">
                  <c:v>Bedrooms</c:v>
                </c:pt>
                <c:pt idx="5">
                  <c:v>Bathrooms and Toilets</c:v>
                </c:pt>
                <c:pt idx="6">
                  <c:v>Hand Hygiene</c:v>
                </c:pt>
                <c:pt idx="7">
                  <c:v>Personal Protective Equipment</c:v>
                </c:pt>
                <c:pt idx="8">
                  <c:v>Management of Sharps </c:v>
                </c:pt>
                <c:pt idx="9">
                  <c:v>Management of Blood and Body Fluid Spills</c:v>
                </c:pt>
                <c:pt idx="10">
                  <c:v>Decontamination of Equipment</c:v>
                </c:pt>
                <c:pt idx="11">
                  <c:v>Management of Laundry</c:v>
                </c:pt>
                <c:pt idx="12">
                  <c:v>Waste Management</c:v>
                </c:pt>
                <c:pt idx="13">
                  <c:v>Outbreaks</c:v>
                </c:pt>
              </c:strCache>
            </c:strRef>
          </c:cat>
          <c:val>
            <c:numRef>
              <c:f>'Overview &amp; Scores'!$D$8:$D$21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4-4F08-9AC5-51657FC40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701888"/>
        <c:axId val="313701104"/>
      </c:barChart>
      <c:catAx>
        <c:axId val="313701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13701104"/>
        <c:crosses val="autoZero"/>
        <c:auto val="1"/>
        <c:lblAlgn val="ctr"/>
        <c:lblOffset val="100"/>
        <c:noMultiLvlLbl val="0"/>
      </c:catAx>
      <c:valAx>
        <c:axId val="313701104"/>
        <c:scaling>
          <c:orientation val="minMax"/>
          <c:max val="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1370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299384542250137"/>
          <c:y val="0.24514601307209319"/>
          <c:w val="0.10159189638867396"/>
          <c:h val="8.688485268546920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885825</xdr:colOff>
      <xdr:row>14</xdr:row>
      <xdr:rowOff>14287</xdr:rowOff>
    </xdr:from>
    <xdr:to>
      <xdr:col>7</xdr:col>
      <xdr:colOff>0</xdr:colOff>
      <xdr:row>26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945DC-8520-4514-9FAA-6F161E5397E0}" name="Table1" displayName="Table1" ref="B7:D21" totalsRowShown="0" headerRowDxfId="147" dataDxfId="145" headerRowBorderDxfId="146" tableBorderDxfId="144" totalsRowBorderDxfId="143">
  <autoFilter ref="B7:D21" xr:uid="{416945DC-8520-4514-9FAA-6F161E5397E0}"/>
  <tableColumns count="3">
    <tableColumn id="1" xr3:uid="{0F618445-5050-483B-88D2-C4C16E884ADA}" name="Section " dataDxfId="142"/>
    <tableColumn id="2" xr3:uid="{EF381B00-C840-4AB3-A325-B16FEDADDA3D}" name="Area" dataDxfId="141"/>
    <tableColumn id="3" xr3:uid="{B035C539-D597-49CB-A7B5-D630223B0E49}" name="Area Score" dataDxfId="1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1EE9BE-A194-4EC1-B789-CCEAF19588FC}" name="Table2" displayName="Table2" ref="C4:F16" totalsRowShown="0" headerRowDxfId="139" dataDxfId="137" headerRowBorderDxfId="138" tableBorderDxfId="136" totalsRowBorderDxfId="135">
  <autoFilter ref="C4:F16" xr:uid="{191EE9BE-A194-4EC1-B789-CCEAF19588FC}"/>
  <tableColumns count="4">
    <tableColumn id="1" xr3:uid="{D1876194-7300-4401-AA1C-B3A4C51DC4D6}" name="Section" dataDxfId="134"/>
    <tableColumn id="2" xr3:uid="{A7A5C61A-2AFA-4113-A902-275E91E44F10}" name="Criteria" dataDxfId="133"/>
    <tableColumn id="3" xr3:uid="{50301C22-6BF8-42BA-B8C2-451A925F0602}" name="Yes / No / NA" dataDxfId="132"/>
    <tableColumn id="4" xr3:uid="{A52E25E5-F4D4-4269-B7CF-AA0CADDF97F1}" name="Comments " dataDxfId="1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E284CF-15A9-457A-9EDC-468F11772B7A}" name="Table3" displayName="Table3" ref="C4:F17" totalsRowShown="0" headerRowDxfId="130" headerRowBorderDxfId="129" tableBorderDxfId="128" totalsRowBorderDxfId="127">
  <autoFilter ref="C4:F17" xr:uid="{BEE284CF-15A9-457A-9EDC-468F11772B7A}"/>
  <tableColumns count="4">
    <tableColumn id="1" xr3:uid="{15CB38BB-8949-454D-BA20-A1584EA450F5}" name="Section" dataDxfId="126"/>
    <tableColumn id="2" xr3:uid="{DAE67250-9E4C-4899-8052-5239B5EFA808}" name="Criteria" dataDxfId="125"/>
    <tableColumn id="3" xr3:uid="{01019841-CDB6-456E-8489-A330E1BCCB24}" name="Yes / No / NA" dataDxfId="124"/>
    <tableColumn id="4" xr3:uid="{0A76D961-4B20-461D-9C08-D63137F8ADB2}" name="Comments " dataDxfId="12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77117B-2243-4885-98BF-981B36330B85}" name="Table4" displayName="Table4" ref="C4:F13" totalsRowShown="0" headerRowDxfId="122" dataDxfId="120" headerRowBorderDxfId="121" tableBorderDxfId="119" totalsRowBorderDxfId="118">
  <autoFilter ref="C4:F13" xr:uid="{CE77117B-2243-4885-98BF-981B36330B85}"/>
  <tableColumns count="4">
    <tableColumn id="1" xr3:uid="{5362C05A-6B81-4BDE-90E9-C91A465364ED}" name="Section" dataDxfId="117"/>
    <tableColumn id="2" xr3:uid="{139FB815-F0A5-461F-9481-378CFE350E93}" name="Criteria" dataDxfId="116"/>
    <tableColumn id="3" xr3:uid="{61EAAFA6-B794-412B-AFAB-23DCA314FE1D}" name="Yes / No / NA" dataDxfId="115"/>
    <tableColumn id="4" xr3:uid="{158976F1-C93C-43D9-991C-44830C543768}" name="Comments " dataDxfId="114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70FD015-F807-4B3F-8EFE-D1CA2AD51263}" name="Table5" displayName="Table5" ref="C4:F12" totalsRowShown="0" headerRowDxfId="113" dataDxfId="111" headerRowBorderDxfId="112" tableBorderDxfId="110" totalsRowBorderDxfId="109">
  <autoFilter ref="C4:F12" xr:uid="{670FD015-F807-4B3F-8EFE-D1CA2AD51263}"/>
  <tableColumns count="4">
    <tableColumn id="1" xr3:uid="{58439E1D-7BC7-4338-BE38-C42E7EF78814}" name="Section" dataDxfId="108"/>
    <tableColumn id="2" xr3:uid="{23579C6C-0814-4B4B-A28A-A68F304B69D5}" name="Criteria" dataDxfId="107"/>
    <tableColumn id="3" xr3:uid="{F495B62E-9CB3-498C-A2DB-0476421DC299}" name="Yes / No / NA" dataDxfId="106"/>
    <tableColumn id="4" xr3:uid="{D4220489-D8C8-40F3-A1AA-37357B53FA85}" name="Comments " dataDxfId="105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6E49F9-88CE-445E-9AF1-B9B5415FFC69}" name="Table6" displayName="Table6" ref="C4:F19" totalsRowShown="0" headerRowDxfId="104" dataDxfId="102" headerRowBorderDxfId="103" tableBorderDxfId="101" totalsRowBorderDxfId="100">
  <autoFilter ref="C4:F19" xr:uid="{266E49F9-88CE-445E-9AF1-B9B5415FFC69}"/>
  <tableColumns count="4">
    <tableColumn id="1" xr3:uid="{4A6B48B9-CFF5-4768-A2BF-28DAB4660931}" name="Section" dataDxfId="99"/>
    <tableColumn id="2" xr3:uid="{CE771C5F-D03A-4E43-9551-5C8A3CC55C9B}" name="Criteria" dataDxfId="98"/>
    <tableColumn id="3" xr3:uid="{AAA9F5DC-B63C-42E0-8856-A4156C2A9EBE}" name="Yes / No / NA" dataDxfId="97"/>
    <tableColumn id="4" xr3:uid="{B0EFEC78-8226-414B-B5F2-B14E5202437D}" name="Comments " dataDxfId="96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B2D7F-D258-45D1-9682-D5ADB0C0ABE5}" name="Table7" displayName="Table7" ref="C4:F17" totalsRowShown="0" headerRowDxfId="95" dataDxfId="93" headerRowBorderDxfId="94" tableBorderDxfId="92" totalsRowBorderDxfId="91">
  <autoFilter ref="C4:F17" xr:uid="{A20B2D7F-D258-45D1-9682-D5ADB0C0ABE5}"/>
  <tableColumns count="4">
    <tableColumn id="1" xr3:uid="{C4C38683-4D49-46B7-AE5B-989B1F368B4C}" name="Section" dataDxfId="90"/>
    <tableColumn id="2" xr3:uid="{6D257C26-E746-4073-965A-00DFA9303605}" name="Criteria" dataDxfId="89"/>
    <tableColumn id="3" xr3:uid="{BD93722A-E93D-45AB-B40E-B97C1DE0D46B}" name="Yes / No / NA" dataDxfId="88"/>
    <tableColumn id="4" xr3:uid="{C2DF3438-30F0-46B5-8E59-5180D19A04DF}" name="Comments " dataDxfId="8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B6AAEFA-02F7-424F-9D62-847D13123A6A}" name="Table8" displayName="Table8" ref="C4:F13" totalsRowShown="0" headerRowDxfId="86" dataDxfId="84" headerRowBorderDxfId="85" tableBorderDxfId="83" totalsRowBorderDxfId="82">
  <autoFilter ref="C4:F13" xr:uid="{5B6AAEFA-02F7-424F-9D62-847D13123A6A}"/>
  <tableColumns count="4">
    <tableColumn id="1" xr3:uid="{B82EC109-9805-43BA-A0AF-46EA6D1A55C5}" name="Section" dataDxfId="81"/>
    <tableColumn id="2" xr3:uid="{496BD8ED-8496-42B8-B1DF-BFA92259CCFE}" name="Criteria" dataDxfId="80"/>
    <tableColumn id="3" xr3:uid="{305B1502-FBAB-4F7B-9999-FA4E9BE0463F}" name="Yes / No / NA" dataDxfId="79"/>
    <tableColumn id="4" xr3:uid="{047FD7ED-892E-44FC-B4E3-6341BC7C9FD7}" name="Comments " dataDxfId="7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F00A7E-BCDD-4F60-AA9A-58DE58DC6289}" name="Table9" displayName="Table9" ref="C4:F12" totalsRowShown="0" headerRowDxfId="77" dataDxfId="75" headerRowBorderDxfId="76" tableBorderDxfId="74" totalsRowBorderDxfId="73">
  <autoFilter ref="C4:F12" xr:uid="{F8F00A7E-BCDD-4F60-AA9A-58DE58DC6289}"/>
  <tableColumns count="4">
    <tableColumn id="1" xr3:uid="{5A0B5CE4-02E8-43EF-8E28-EB0FFB28CF5B}" name="Section" dataDxfId="72"/>
    <tableColumn id="2" xr3:uid="{A0382EAC-1557-4BF4-8F29-778F7624302B}" name="Criteria" dataDxfId="71"/>
    <tableColumn id="3" xr3:uid="{1ABD80BB-9D0E-445D-BB00-6EB0D36F1C03}" name="Yes / No / NA" dataDxfId="70"/>
    <tableColumn id="4" xr3:uid="{0F163F98-9896-4883-A8A1-CDA01D71EC6E}" name="Comments " dataDxfId="6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ECBDD1-B43A-422A-8F18-CFF531F558F5}" name="Table10" displayName="Table10" ref="C4:F15" totalsRowShown="0" headerRowDxfId="68" dataDxfId="66" headerRowBorderDxfId="67" tableBorderDxfId="65">
  <autoFilter ref="C4:F15" xr:uid="{2AECBDD1-B43A-422A-8F18-CFF531F558F5}"/>
  <tableColumns count="4">
    <tableColumn id="1" xr3:uid="{67E50530-EAC5-4C1D-A6C2-26D15A8CBF3A}" name="Section" dataDxfId="64"/>
    <tableColumn id="2" xr3:uid="{11CE3267-8865-4AFF-B206-11D47917262C}" name="Criteria" dataDxfId="63"/>
    <tableColumn id="3" xr3:uid="{55FE7A80-F892-4AF4-89E7-EB9848F702E8}" name="Yes / No / NA" dataDxfId="62"/>
    <tableColumn id="4" xr3:uid="{D5BB94D4-59EC-4A8C-BA34-4D80C9AB1754}" name="Comments " dataDxfId="61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ED298F6-6BCC-4596-BD72-3553463D7FEF}" name="Table11" displayName="Table11" ref="C4:F14" totalsRowShown="0" headerRowDxfId="60" dataDxfId="58" headerRowBorderDxfId="59" tableBorderDxfId="57" totalsRowBorderDxfId="56">
  <autoFilter ref="C4:F14" xr:uid="{8ED298F6-6BCC-4596-BD72-3553463D7FEF}"/>
  <tableColumns count="4">
    <tableColumn id="1" xr3:uid="{C77E646E-6772-48C1-BAB7-35356002CDEC}" name="Section" dataDxfId="55"/>
    <tableColumn id="2" xr3:uid="{21D9DB85-A1C8-43FF-B9BF-EB0F93E6BC7A}" name="Criteria" dataDxfId="54"/>
    <tableColumn id="3" xr3:uid="{6B30FD57-54B4-415B-9CB1-56A0277DA5C7}" name="Yes / No / NA" dataDxfId="53"/>
    <tableColumn id="4" xr3:uid="{9FCEE3F8-820D-46B2-8C56-ECC9350A74DC}" name="Comments " dataDxfId="52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7BFE4A5-F4C4-41DE-9DE6-89019C7A79EB}" name="Table12" displayName="Table12" ref="C4:F12" totalsRowShown="0" headerRowDxfId="51" dataDxfId="49" headerRowBorderDxfId="50" tableBorderDxfId="48">
  <autoFilter ref="C4:F12" xr:uid="{67BFE4A5-F4C4-41DE-9DE6-89019C7A79EB}"/>
  <tableColumns count="4">
    <tableColumn id="1" xr3:uid="{25D1B612-780C-42B1-AB0E-3D13F9BEA87C}" name="Section" dataDxfId="47"/>
    <tableColumn id="2" xr3:uid="{F78FFA24-ACC0-43B3-8DF0-97E3D060993C}" name="Criteria" dataDxfId="46"/>
    <tableColumn id="3" xr3:uid="{56D133A7-267B-46C3-99B8-7D436BB6038F}" name="Yes / No / NA" dataDxfId="45"/>
    <tableColumn id="4" xr3:uid="{D837EDDD-F445-4F40-8D93-2CCB7117BD00}" name="Comments " dataDxfId="44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8AB0FD7-CF2D-47E7-92AF-27C966A47531}" name="Table13" displayName="Table13" ref="C4:F18" totalsRowShown="0" headerRowDxfId="43" dataDxfId="41" headerRowBorderDxfId="42" tableBorderDxfId="40" totalsRowBorderDxfId="39">
  <autoFilter ref="C4:F18" xr:uid="{D8AB0FD7-CF2D-47E7-92AF-27C966A47531}"/>
  <tableColumns count="4">
    <tableColumn id="1" xr3:uid="{18876A2B-1079-4A7B-8FC7-8FD87126016E}" name="Section" dataDxfId="38"/>
    <tableColumn id="2" xr3:uid="{74FA10AB-6697-4B43-884B-5B03F2985062}" name="Criteria" dataDxfId="37"/>
    <tableColumn id="3" xr3:uid="{B9F232AC-C5F2-4D88-BFA0-7D50BDDE80F9}" name="Yes / No / NA" dataDxfId="36"/>
    <tableColumn id="4" xr3:uid="{6E32449C-4C9D-4F5F-A449-A4819F93716F}" name="Comments " dataDxfId="35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479496-5944-4099-81A3-555CF0A71CFC}" name="Table14" displayName="Table14" ref="C4:F11" totalsRowShown="0" headerRowDxfId="34" headerRowBorderDxfId="33" tableBorderDxfId="32" totalsRowBorderDxfId="31">
  <autoFilter ref="C4:F11" xr:uid="{9D479496-5944-4099-81A3-555CF0A71CFC}"/>
  <tableColumns count="4">
    <tableColumn id="1" xr3:uid="{C0E5B7DB-5AAB-42F9-83A7-55F1ED6FC7AB}" name="Section" dataDxfId="30"/>
    <tableColumn id="2" xr3:uid="{F85688F6-8C40-46A3-970F-DA19203F63F2}" name="Criteria" dataDxfId="29"/>
    <tableColumn id="3" xr3:uid="{463ED377-6DE1-4573-B894-873F3CE7DAB3}" name="Yes / No / NA" dataDxfId="28"/>
    <tableColumn id="4" xr3:uid="{ED485E0E-1E90-4335-91C9-0D62CF073E1B}" name="Comments " dataDxfId="2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03A1AEC-6570-48C9-91B2-11519905321C}" name="Table15" displayName="Table15" ref="C4:F12" totalsRowShown="0" headerRowDxfId="26" headerRowBorderDxfId="25" tableBorderDxfId="24" totalsRowBorderDxfId="23">
  <autoFilter ref="C4:F12" xr:uid="{603A1AEC-6570-48C9-91B2-11519905321C}"/>
  <tableColumns count="4">
    <tableColumn id="1" xr3:uid="{77492E6C-11EE-47C9-B8C4-9372969027F1}" name="Section" dataDxfId="22"/>
    <tableColumn id="2" xr3:uid="{CAB896CD-3689-4974-B5E6-988B276482B3}" name="Criteria" dataDxfId="21"/>
    <tableColumn id="3" xr3:uid="{67C4FBA6-7AA6-438F-9A56-BD6570709E7E}" name="Yes / No / NA" dataDxfId="20"/>
    <tableColumn id="4" xr3:uid="{B82DFBED-AE1D-44BA-9801-C0B81863220C}" name="Comments " dataDxfId="1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BD9176D-A737-4AC3-BC98-D86AA1958993}" name="Table117" displayName="Table117" ref="B5:L33" totalsRowShown="0" headerRowDxfId="18" dataDxfId="16" headerRowBorderDxfId="17" tableBorderDxfId="15" totalsRowBorderDxfId="14">
  <autoFilter ref="B5:L33" xr:uid="{471271D1-5076-4BDA-B72F-C25E912954AF}"/>
  <tableColumns count="11">
    <tableColumn id="1" xr3:uid="{715F1231-E394-4392-9F57-8FF8DF06FE86}" name="Area of Action Required" dataDxfId="13"/>
    <tableColumn id="2" xr3:uid="{D1883806-E693-4898-8989-BB39CC635441}" name="Details of what has been Identified?" dataDxfId="12"/>
    <tableColumn id="3" xr3:uid="{ECF71E16-6002-42F8-87CA-86D58505F910}" name="Date Identified " dataDxfId="11"/>
    <tableColumn id="4" xr3:uid="{40C31ED6-85D8-4ED9-A30C-CE462C6E42CC}" name="Detail of Action Required" dataDxfId="10"/>
    <tableColumn id="5" xr3:uid="{9843DDA7-4B3B-4F8B-8DD6-1649BE7AA395}" name="Responsible Person" dataDxfId="9"/>
    <tableColumn id="11" xr3:uid="{5A5FD51C-29F2-4E42-83BA-78D4E5A39236}" name="Target Completion Date" dataDxfId="8"/>
    <tableColumn id="6" xr3:uid="{28308301-F456-48F2-8BE5-7A47B6BA8D7B}" name="Date Action Completed " dataDxfId="7"/>
    <tableColumn id="7" xr3:uid="{DFDE3F13-AB06-4374-8FFD-849C1CA6DC79}" name="Was Improvement Seen Following Action? (Y/N)" dataDxfId="6"/>
    <tableColumn id="8" xr3:uid="{41406102-8CAD-4EC8-B84B-63F341A8C596}" name="Details of results seen following action:" dataDxfId="5"/>
    <tableColumn id="9" xr3:uid="{360E70D0-0B78-4696-B609-611E544C5F10}" name="Was further action required? (Y/N) _x000a_(If Y, detail in new row)" dataDxfId="4"/>
    <tableColumn id="10" xr3:uid="{E7707DFA-61C7-47D0-956D-75E365CE9F74}" name="Date Action Reviewed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www.hse.gov.uk/riddor" TargetMode="External"/><Relationship Id="rId7" Type="http://schemas.openxmlformats.org/officeDocument/2006/relationships/printerSettings" Target="../printerSettings/printerSettings16.bin"/><Relationship Id="rId2" Type="http://schemas.openxmlformats.org/officeDocument/2006/relationships/hyperlink" Target="http://www.hse.gov.uk/healthservices/needlesticks/eu-directive.htm" TargetMode="External"/><Relationship Id="rId1" Type="http://schemas.openxmlformats.org/officeDocument/2006/relationships/hyperlink" Target="http://eur-lex.europa.eu/legal-content/EN/TXT/?uri=celex%3A32010L0032" TargetMode="External"/><Relationship Id="rId6" Type="http://schemas.openxmlformats.org/officeDocument/2006/relationships/hyperlink" Target="https://www.nice.org.uk/guidance/qs113" TargetMode="External"/><Relationship Id="rId5" Type="http://schemas.openxmlformats.org/officeDocument/2006/relationships/hyperlink" Target="http://www.journalofhospitalinfection.com/article/S0195-6701(06)00002-8/fulltext" TargetMode="External"/><Relationship Id="rId4" Type="http://schemas.openxmlformats.org/officeDocument/2006/relationships/hyperlink" Target="http://www.hse.gov.uk/cos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7"/>
  <sheetViews>
    <sheetView workbookViewId="0">
      <selection activeCell="E16" sqref="E16"/>
    </sheetView>
  </sheetViews>
  <sheetFormatPr defaultRowHeight="14.5" x14ac:dyDescent="0.35"/>
  <cols>
    <col min="2" max="2" width="14" customWidth="1"/>
    <col min="3" max="3" width="47.81640625" customWidth="1"/>
    <col min="4" max="4" width="16.1796875" customWidth="1"/>
    <col min="5" max="5" width="13.453125" customWidth="1"/>
    <col min="6" max="6" width="14.453125" customWidth="1"/>
    <col min="7" max="7" width="59.54296875" customWidth="1"/>
  </cols>
  <sheetData>
    <row r="2" spans="2:7" x14ac:dyDescent="0.35">
      <c r="B2" s="109" t="s">
        <v>81</v>
      </c>
      <c r="C2" s="109"/>
      <c r="D2" s="109"/>
      <c r="E2" s="109"/>
      <c r="F2" s="109"/>
      <c r="G2" s="109"/>
    </row>
    <row r="3" spans="2:7" ht="15" thickBot="1" x14ac:dyDescent="0.4">
      <c r="B3" s="14"/>
      <c r="C3" s="14"/>
      <c r="D3" s="14"/>
      <c r="E3" s="14"/>
      <c r="F3" s="14"/>
      <c r="G3" s="14"/>
    </row>
    <row r="4" spans="2:7" ht="15" thickBot="1" x14ac:dyDescent="0.4">
      <c r="B4" s="18" t="s">
        <v>82</v>
      </c>
      <c r="C4" s="16"/>
      <c r="D4" s="19" t="s">
        <v>83</v>
      </c>
      <c r="E4" s="16"/>
      <c r="F4" s="19" t="s">
        <v>84</v>
      </c>
      <c r="G4" s="17"/>
    </row>
    <row r="6" spans="2:7" ht="15" thickBot="1" x14ac:dyDescent="0.4"/>
    <row r="7" spans="2:7" ht="15.75" customHeight="1" thickBot="1" x14ac:dyDescent="0.4">
      <c r="B7" s="11" t="s">
        <v>77</v>
      </c>
      <c r="C7" s="12" t="s">
        <v>78</v>
      </c>
      <c r="D7" s="13" t="s">
        <v>79</v>
      </c>
    </row>
    <row r="8" spans="2:7" ht="15.5" x14ac:dyDescent="0.35">
      <c r="B8" s="9">
        <v>1</v>
      </c>
      <c r="C8" s="103" t="s">
        <v>0</v>
      </c>
      <c r="D8" s="10">
        <f>'1'!E18</f>
        <v>0</v>
      </c>
      <c r="F8" s="119" t="s">
        <v>68</v>
      </c>
      <c r="G8" s="119"/>
    </row>
    <row r="9" spans="2:7" ht="15.75" customHeight="1" x14ac:dyDescent="0.35">
      <c r="B9" s="5">
        <v>2</v>
      </c>
      <c r="C9" s="104" t="s">
        <v>1</v>
      </c>
      <c r="D9" s="6">
        <f>'2'!E19</f>
        <v>0</v>
      </c>
      <c r="F9" s="120"/>
      <c r="G9" s="120"/>
    </row>
    <row r="10" spans="2:7" ht="15.75" customHeight="1" x14ac:dyDescent="0.35">
      <c r="B10" s="5">
        <v>3</v>
      </c>
      <c r="C10" s="104" t="s">
        <v>27</v>
      </c>
      <c r="D10" s="6">
        <f>'3'!E15</f>
        <v>0</v>
      </c>
      <c r="F10" s="121" t="s">
        <v>250</v>
      </c>
      <c r="G10" s="122"/>
    </row>
    <row r="11" spans="2:7" ht="15" customHeight="1" x14ac:dyDescent="0.35">
      <c r="B11" s="5">
        <v>4</v>
      </c>
      <c r="C11" s="104" t="s">
        <v>247</v>
      </c>
      <c r="D11" s="6">
        <f>'4'!E14</f>
        <v>0</v>
      </c>
      <c r="F11" s="120"/>
      <c r="G11" s="120"/>
    </row>
    <row r="12" spans="2:7" ht="15.75" customHeight="1" x14ac:dyDescent="0.35">
      <c r="B12" s="5">
        <v>5</v>
      </c>
      <c r="C12" s="104" t="s">
        <v>2</v>
      </c>
      <c r="D12" s="6">
        <f>'5'!E21</f>
        <v>0</v>
      </c>
      <c r="F12" s="123" t="s">
        <v>9</v>
      </c>
      <c r="G12" s="124"/>
    </row>
    <row r="13" spans="2:7" ht="15.5" x14ac:dyDescent="0.35">
      <c r="B13" s="5">
        <v>6</v>
      </c>
      <c r="C13" s="104" t="s">
        <v>246</v>
      </c>
      <c r="D13" s="6">
        <f>'6'!E19</f>
        <v>0</v>
      </c>
      <c r="G13" s="1"/>
    </row>
    <row r="14" spans="2:7" ht="15.5" x14ac:dyDescent="0.35">
      <c r="B14" s="5">
        <v>7</v>
      </c>
      <c r="C14" s="104" t="s">
        <v>3</v>
      </c>
      <c r="D14" s="6">
        <f>'7'!E15</f>
        <v>0</v>
      </c>
      <c r="G14" s="1"/>
    </row>
    <row r="15" spans="2:7" x14ac:dyDescent="0.35">
      <c r="B15" s="5">
        <v>8</v>
      </c>
      <c r="C15" s="105" t="s">
        <v>4</v>
      </c>
      <c r="D15" s="6">
        <f>'8'!E14</f>
        <v>0</v>
      </c>
    </row>
    <row r="16" spans="2:7" x14ac:dyDescent="0.35">
      <c r="B16" s="5">
        <v>9</v>
      </c>
      <c r="C16" s="104" t="s">
        <v>5</v>
      </c>
      <c r="D16" s="6">
        <f>'9'!E17</f>
        <v>0</v>
      </c>
    </row>
    <row r="17" spans="2:4" x14ac:dyDescent="0.35">
      <c r="B17" s="5">
        <v>10</v>
      </c>
      <c r="C17" s="104" t="s">
        <v>242</v>
      </c>
      <c r="D17" s="6">
        <f>'10'!E16</f>
        <v>0</v>
      </c>
    </row>
    <row r="18" spans="2:4" x14ac:dyDescent="0.35">
      <c r="B18" s="5">
        <v>11</v>
      </c>
      <c r="C18" s="104" t="s">
        <v>241</v>
      </c>
      <c r="D18" s="6">
        <f>'11'!E14</f>
        <v>0</v>
      </c>
    </row>
    <row r="19" spans="2:4" x14ac:dyDescent="0.35">
      <c r="B19" s="5">
        <v>12</v>
      </c>
      <c r="C19" s="104" t="s">
        <v>6</v>
      </c>
      <c r="D19" s="6">
        <f>'12'!E20</f>
        <v>0</v>
      </c>
    </row>
    <row r="20" spans="2:4" x14ac:dyDescent="0.35">
      <c r="B20" s="5">
        <v>13</v>
      </c>
      <c r="C20" s="104" t="s">
        <v>7</v>
      </c>
      <c r="D20" s="6">
        <f>'13'!E13</f>
        <v>0</v>
      </c>
    </row>
    <row r="21" spans="2:4" ht="15" thickBot="1" x14ac:dyDescent="0.4">
      <c r="B21" s="7">
        <v>14</v>
      </c>
      <c r="C21" s="106" t="s">
        <v>8</v>
      </c>
      <c r="D21" s="8">
        <f>'14'!E14</f>
        <v>0</v>
      </c>
    </row>
    <row r="22" spans="2:4" ht="15" thickBot="1" x14ac:dyDescent="0.4">
      <c r="B22" s="107" t="s">
        <v>80</v>
      </c>
      <c r="C22" s="108"/>
      <c r="D22" s="15">
        <f>AVERAGE(D8:D21)</f>
        <v>0</v>
      </c>
    </row>
    <row r="24" spans="2:4" ht="15" thickBot="1" x14ac:dyDescent="0.4"/>
    <row r="25" spans="2:4" ht="15" thickBot="1" x14ac:dyDescent="0.4">
      <c r="B25" s="116" t="s">
        <v>249</v>
      </c>
      <c r="C25" s="117"/>
      <c r="D25" s="118"/>
    </row>
    <row r="26" spans="2:4" ht="40" customHeight="1" x14ac:dyDescent="0.35">
      <c r="B26" s="110" t="s">
        <v>248</v>
      </c>
      <c r="C26" s="111"/>
      <c r="D26" s="112"/>
    </row>
    <row r="27" spans="2:4" ht="40" customHeight="1" thickBot="1" x14ac:dyDescent="0.4">
      <c r="B27" s="113"/>
      <c r="C27" s="114"/>
      <c r="D27" s="115"/>
    </row>
  </sheetData>
  <mergeCells count="9">
    <mergeCell ref="B22:C22"/>
    <mergeCell ref="B2:G2"/>
    <mergeCell ref="B26:D27"/>
    <mergeCell ref="B25:D25"/>
    <mergeCell ref="F8:G8"/>
    <mergeCell ref="F9:G9"/>
    <mergeCell ref="F11:G11"/>
    <mergeCell ref="F10:G10"/>
    <mergeCell ref="F12:G12"/>
  </mergeCells>
  <conditionalFormatting sqref="D8:D22">
    <cfRule type="cellIs" dxfId="2" priority="1" operator="between">
      <formula>0.01</formula>
      <formula>0.75</formula>
    </cfRule>
    <cfRule type="cellIs" dxfId="1" priority="2" operator="between">
      <formula>0.76</formula>
      <formula>0.84</formula>
    </cfRule>
    <cfRule type="cellIs" dxfId="0" priority="3" operator="greaterThan">
      <formula>0.84</formula>
    </cfRule>
  </conditionalFormatting>
  <hyperlinks>
    <hyperlink ref="C8" location="'1'!A1" display="Management" xr:uid="{2BAA1569-70C0-4BF9-BADC-E6CB465F2D23}"/>
    <hyperlink ref="C9" location="'2'!A1" display="Environmental Cleaning" xr:uid="{6DC49B01-D357-4F5C-8D7E-C03407F4CCEE}"/>
    <hyperlink ref="C10" location="'3'!A1" display="Sluice" xr:uid="{25B7C78A-DD86-427C-9F99-3F5C601240B7}"/>
    <hyperlink ref="C11" location="'4'!A1" display="Treatment Room" xr:uid="{4117C6C7-71D4-4BB7-BD6A-553175290074}"/>
    <hyperlink ref="C12" location="'5'!A1" display="Bedrooms" xr:uid="{6109B18D-CD2A-4715-84AF-980AEC9B2BF8}"/>
    <hyperlink ref="C13" location="'6'!A1" display="Bathrooms and toilets" xr:uid="{F49DEB64-FBFC-49BE-9B16-BF5B00BADA06}"/>
    <hyperlink ref="C14" location="'7'!A1" display="Hand Hygiene" xr:uid="{191C30A4-9206-4E06-AC65-A521F038AA5F}"/>
    <hyperlink ref="C15" location="'8'!A1" display="Personal Protective Equipment" xr:uid="{E93F88D0-E150-4CA5-A732-5CF42EB39DD3}"/>
    <hyperlink ref="C16" location="'9'!A1" display="Management of Sharps " xr:uid="{7C5F5B4B-FEF5-4DDA-9994-CD976DBD699F}"/>
    <hyperlink ref="C17" location="'10'!A1" display="Management of Blood and body fluid spills" xr:uid="{4B85B2DD-13AF-4233-8B89-E361D271ED65}"/>
    <hyperlink ref="C18" location="'11'!A1" display="Decontamination" xr:uid="{9A2CD67F-3609-4B94-A0BF-CA3DF0054DA7}"/>
    <hyperlink ref="C19" location="'12'!A1" display="Management of Laundry" xr:uid="{A25D2F92-EDAD-470B-AB09-25244C2CEF51}"/>
    <hyperlink ref="C20" location="'13'!A1" display="Waste Management" xr:uid="{CFB5A253-08F6-41E6-A6BD-976729B811A0}"/>
    <hyperlink ref="C21" location="'14'!A1" display="Outbreaks" xr:uid="{A3523F1C-7B2B-4517-A59E-7C59F438F1F0}"/>
    <hyperlink ref="B25:D25" location="'Action Plan'!A1" display="Action Plan" xr:uid="{14AF3262-3AD6-4A34-AEA9-048241C835BC}"/>
  </hyperlinks>
  <pageMargins left="0.7" right="0.7" top="0.75" bottom="0.75" header="0.3" footer="0.3"/>
  <pageSetup paperSize="9" scale="48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F18"/>
  <sheetViews>
    <sheetView tabSelected="1" topLeftCell="A9" zoomScaleNormal="100" workbookViewId="0">
      <selection activeCell="E18" sqref="E18:F18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26" t="s">
        <v>88</v>
      </c>
      <c r="D3" s="127"/>
      <c r="E3" s="127"/>
      <c r="F3" s="128"/>
    </row>
    <row r="4" spans="1:6" ht="15" thickBot="1" x14ac:dyDescent="0.4">
      <c r="C4" s="47" t="s">
        <v>86</v>
      </c>
      <c r="D4" s="48" t="s">
        <v>85</v>
      </c>
      <c r="E4" s="49" t="s">
        <v>87</v>
      </c>
      <c r="F4" s="50" t="s">
        <v>10</v>
      </c>
    </row>
    <row r="5" spans="1:6" ht="30" customHeight="1" x14ac:dyDescent="0.35">
      <c r="C5" s="53">
        <v>1.1000000000000001</v>
      </c>
      <c r="D5" s="41" t="s">
        <v>128</v>
      </c>
      <c r="E5" s="42"/>
      <c r="F5" s="43"/>
    </row>
    <row r="6" spans="1:6" ht="30" customHeight="1" x14ac:dyDescent="0.35">
      <c r="C6" s="54">
        <v>1.2</v>
      </c>
      <c r="D6" s="22" t="s">
        <v>127</v>
      </c>
      <c r="E6" s="23"/>
      <c r="F6" s="39"/>
    </row>
    <row r="7" spans="1:6" ht="30" customHeight="1" x14ac:dyDescent="0.35">
      <c r="C7" s="54">
        <v>1.3</v>
      </c>
      <c r="D7" s="22" t="s">
        <v>141</v>
      </c>
      <c r="E7" s="23"/>
      <c r="F7" s="39"/>
    </row>
    <row r="8" spans="1:6" ht="43.5" x14ac:dyDescent="0.35">
      <c r="C8" s="54">
        <v>1.4</v>
      </c>
      <c r="D8" s="22" t="s">
        <v>142</v>
      </c>
      <c r="E8" s="23"/>
      <c r="F8" s="39" t="s">
        <v>121</v>
      </c>
    </row>
    <row r="9" spans="1:6" ht="30" customHeight="1" x14ac:dyDescent="0.35">
      <c r="C9" s="54">
        <v>1.5</v>
      </c>
      <c r="D9" s="22" t="s">
        <v>126</v>
      </c>
      <c r="E9" s="23"/>
      <c r="F9" s="39"/>
    </row>
    <row r="10" spans="1:6" ht="43.5" x14ac:dyDescent="0.35">
      <c r="C10" s="54">
        <v>1.6</v>
      </c>
      <c r="D10" s="22" t="s">
        <v>28</v>
      </c>
      <c r="E10" s="23"/>
      <c r="F10" s="39"/>
    </row>
    <row r="11" spans="1:6" ht="30" customHeight="1" x14ac:dyDescent="0.35">
      <c r="C11" s="54">
        <v>1.7</v>
      </c>
      <c r="D11" s="22" t="s">
        <v>125</v>
      </c>
      <c r="E11" s="23"/>
      <c r="F11" s="39"/>
    </row>
    <row r="12" spans="1:6" ht="30" customHeight="1" x14ac:dyDescent="0.35">
      <c r="C12" s="54">
        <v>1.8</v>
      </c>
      <c r="D12" s="22" t="s">
        <v>11</v>
      </c>
      <c r="E12" s="23"/>
      <c r="F12" s="79" t="s">
        <v>122</v>
      </c>
    </row>
    <row r="13" spans="1:6" ht="30" customHeight="1" x14ac:dyDescent="0.35">
      <c r="C13" s="54">
        <v>1.9</v>
      </c>
      <c r="D13" s="22" t="s">
        <v>124</v>
      </c>
      <c r="E13" s="23"/>
      <c r="F13" s="39"/>
    </row>
    <row r="14" spans="1:6" ht="30" customHeight="1" x14ac:dyDescent="0.35">
      <c r="C14" s="55">
        <v>1.1000000000000001</v>
      </c>
      <c r="D14" s="22" t="s">
        <v>123</v>
      </c>
      <c r="E14" s="23"/>
      <c r="F14" s="39"/>
    </row>
    <row r="15" spans="1:6" ht="30" customHeight="1" x14ac:dyDescent="0.35">
      <c r="C15" s="54">
        <v>1.1100000000000001</v>
      </c>
      <c r="D15" s="22" t="s">
        <v>143</v>
      </c>
      <c r="E15" s="23"/>
      <c r="F15" s="39"/>
    </row>
    <row r="16" spans="1:6" ht="30" customHeight="1" thickBot="1" x14ac:dyDescent="0.4">
      <c r="C16" s="56">
        <v>1.1200000000000001</v>
      </c>
      <c r="D16" s="44" t="s">
        <v>144</v>
      </c>
      <c r="E16" s="45"/>
      <c r="F16" s="46"/>
    </row>
    <row r="17" spans="3:6" x14ac:dyDescent="0.35">
      <c r="C17" s="129" t="s">
        <v>12</v>
      </c>
      <c r="D17" s="130"/>
      <c r="E17" s="133">
        <f>SUM(COUNTIF(E4:E16,{"yes","na"}))</f>
        <v>0</v>
      </c>
      <c r="F17" s="134"/>
    </row>
    <row r="18" spans="3:6" ht="15" thickBot="1" x14ac:dyDescent="0.4">
      <c r="C18" s="131" t="s">
        <v>13</v>
      </c>
      <c r="D18" s="132"/>
      <c r="E18" s="135">
        <f>E17/12</f>
        <v>0</v>
      </c>
      <c r="F18" s="136"/>
    </row>
  </sheetData>
  <mergeCells count="6">
    <mergeCell ref="A1:B1"/>
    <mergeCell ref="C3:F3"/>
    <mergeCell ref="C17:D17"/>
    <mergeCell ref="C18:D18"/>
    <mergeCell ref="E17:F17"/>
    <mergeCell ref="E18:F18"/>
  </mergeCells>
  <dataValidations count="1">
    <dataValidation type="list" allowBlank="1" showInputMessage="1" showErrorMessage="1" sqref="E5:E16" xr:uid="{00000000-0002-0000-0300-000000000000}">
      <formula1>"Yes,No,NA"</formula1>
    </dataValidation>
  </dataValidations>
  <hyperlinks>
    <hyperlink ref="A1:B1" location="'Overview &amp; Scores'!A1" display="Overview &amp; Scores" xr:uid="{4CCCEED0-3B8F-489E-89D1-B40AB9A0A89C}"/>
  </hyperlinks>
  <pageMargins left="0.7" right="0.7" top="0.75" bottom="0.75" header="0.3" footer="0.3"/>
  <pageSetup paperSize="9" scale="5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  <pageSetUpPr fitToPage="1"/>
  </sheetPr>
  <dimension ref="A1:F19"/>
  <sheetViews>
    <sheetView workbookViewId="0">
      <selection activeCell="E5" sqref="E5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5.5" x14ac:dyDescent="0.35">
      <c r="C3" s="137" t="s">
        <v>89</v>
      </c>
      <c r="D3" s="138"/>
      <c r="E3" s="138"/>
      <c r="F3" s="139"/>
    </row>
    <row r="4" spans="1:6" ht="15" thickBot="1" x14ac:dyDescent="0.4">
      <c r="C4" s="34" t="s">
        <v>86</v>
      </c>
      <c r="D4" s="35" t="s">
        <v>85</v>
      </c>
      <c r="E4" s="36" t="s">
        <v>87</v>
      </c>
      <c r="F4" s="37" t="s">
        <v>10</v>
      </c>
    </row>
    <row r="5" spans="1:6" ht="30" customHeight="1" x14ac:dyDescent="0.35">
      <c r="C5" s="20">
        <v>2.1</v>
      </c>
      <c r="D5" s="31" t="s">
        <v>135</v>
      </c>
      <c r="E5" s="32"/>
      <c r="F5" s="33"/>
    </row>
    <row r="6" spans="1:6" ht="30" customHeight="1" x14ac:dyDescent="0.35">
      <c r="C6" s="28">
        <v>2.2000000000000002</v>
      </c>
      <c r="D6" s="22" t="s">
        <v>129</v>
      </c>
      <c r="E6" s="23"/>
      <c r="F6" s="24"/>
    </row>
    <row r="7" spans="1:6" ht="30" customHeight="1" x14ac:dyDescent="0.35">
      <c r="C7" s="28">
        <v>2.2999999999999998</v>
      </c>
      <c r="D7" s="22" t="s">
        <v>130</v>
      </c>
      <c r="E7" s="23"/>
      <c r="F7" s="24"/>
    </row>
    <row r="8" spans="1:6" ht="30" customHeight="1" x14ac:dyDescent="0.35">
      <c r="C8" s="28">
        <v>2.4</v>
      </c>
      <c r="D8" s="22" t="s">
        <v>131</v>
      </c>
      <c r="E8" s="23"/>
      <c r="F8" s="24"/>
    </row>
    <row r="9" spans="1:6" ht="43.5" x14ac:dyDescent="0.35">
      <c r="C9" s="28">
        <v>2.5</v>
      </c>
      <c r="D9" s="22" t="s">
        <v>136</v>
      </c>
      <c r="E9" s="23"/>
      <c r="F9" s="24"/>
    </row>
    <row r="10" spans="1:6" ht="30" customHeight="1" x14ac:dyDescent="0.35">
      <c r="C10" s="28">
        <v>2.6</v>
      </c>
      <c r="D10" s="22" t="s">
        <v>145</v>
      </c>
      <c r="E10" s="23"/>
      <c r="F10" s="24"/>
    </row>
    <row r="11" spans="1:6" ht="30" customHeight="1" x14ac:dyDescent="0.35">
      <c r="C11" s="28">
        <v>2.7</v>
      </c>
      <c r="D11" s="22" t="s">
        <v>132</v>
      </c>
      <c r="E11" s="23"/>
      <c r="F11" s="24"/>
    </row>
    <row r="12" spans="1:6" ht="30" customHeight="1" x14ac:dyDescent="0.35">
      <c r="C12" s="28">
        <v>2.8</v>
      </c>
      <c r="D12" s="22" t="s">
        <v>133</v>
      </c>
      <c r="E12" s="23"/>
      <c r="F12" s="24"/>
    </row>
    <row r="13" spans="1:6" ht="30" customHeight="1" x14ac:dyDescent="0.35">
      <c r="C13" s="28">
        <v>2.9</v>
      </c>
      <c r="D13" s="22" t="s">
        <v>134</v>
      </c>
      <c r="E13" s="23"/>
      <c r="F13" s="24"/>
    </row>
    <row r="14" spans="1:6" ht="43.5" x14ac:dyDescent="0.35">
      <c r="C14" s="51">
        <v>2.1</v>
      </c>
      <c r="D14" s="22" t="s">
        <v>137</v>
      </c>
      <c r="E14" s="23"/>
      <c r="F14" s="24"/>
    </row>
    <row r="15" spans="1:6" ht="43.5" x14ac:dyDescent="0.35">
      <c r="C15" s="28">
        <v>2.11</v>
      </c>
      <c r="D15" s="22" t="s">
        <v>138</v>
      </c>
      <c r="E15" s="23"/>
      <c r="F15" s="24"/>
    </row>
    <row r="16" spans="1:6" ht="30" customHeight="1" x14ac:dyDescent="0.35">
      <c r="C16" s="28">
        <v>2.12</v>
      </c>
      <c r="D16" s="22" t="s">
        <v>139</v>
      </c>
      <c r="E16" s="23"/>
      <c r="F16" s="24"/>
    </row>
    <row r="17" spans="3:6" ht="30" customHeight="1" x14ac:dyDescent="0.35">
      <c r="C17" s="52">
        <v>2.13</v>
      </c>
      <c r="D17" s="25" t="s">
        <v>140</v>
      </c>
      <c r="E17" s="26"/>
      <c r="F17" s="27"/>
    </row>
    <row r="18" spans="3:6" x14ac:dyDescent="0.35">
      <c r="C18" s="144" t="s">
        <v>14</v>
      </c>
      <c r="D18" s="145"/>
      <c r="E18" s="140">
        <f>SUM(COUNTIF(E5:E17,{"yes","na"}))</f>
        <v>0</v>
      </c>
      <c r="F18" s="141"/>
    </row>
    <row r="19" spans="3:6" ht="15" thickBot="1" x14ac:dyDescent="0.4">
      <c r="C19" s="146" t="s">
        <v>15</v>
      </c>
      <c r="D19" s="147"/>
      <c r="E19" s="142">
        <f>E18/13</f>
        <v>0</v>
      </c>
      <c r="F19" s="143"/>
    </row>
  </sheetData>
  <mergeCells count="6">
    <mergeCell ref="A1:B1"/>
    <mergeCell ref="C3:F3"/>
    <mergeCell ref="E18:F18"/>
    <mergeCell ref="E19:F19"/>
    <mergeCell ref="C18:D18"/>
    <mergeCell ref="C19:D19"/>
  </mergeCells>
  <dataValidations count="1">
    <dataValidation type="list" allowBlank="1" showInputMessage="1" showErrorMessage="1" sqref="E5:E10 E12:E17 E11" xr:uid="{00000000-0002-0000-0400-000000000000}">
      <formula1>"Yes,No,NA"</formula1>
    </dataValidation>
  </dataValidations>
  <hyperlinks>
    <hyperlink ref="A1:B1" location="'Overview &amp; Scores'!A1" display="Overview &amp; Scores" xr:uid="{0A5D4623-845D-463C-ABC8-81027C30BA0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/>
    <pageSetUpPr fitToPage="1"/>
  </sheetPr>
  <dimension ref="A1:F15"/>
  <sheetViews>
    <sheetView workbookViewId="0">
      <selection sqref="A1:B1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48" t="s">
        <v>90</v>
      </c>
      <c r="D3" s="149"/>
      <c r="E3" s="149"/>
      <c r="F3" s="150"/>
    </row>
    <row r="4" spans="1:6" ht="15" thickBot="1" x14ac:dyDescent="0.4">
      <c r="C4" s="47" t="s">
        <v>86</v>
      </c>
      <c r="D4" s="49" t="s">
        <v>85</v>
      </c>
      <c r="E4" s="16" t="s">
        <v>87</v>
      </c>
      <c r="F4" s="17" t="s">
        <v>10</v>
      </c>
    </row>
    <row r="5" spans="1:6" ht="30" customHeight="1" x14ac:dyDescent="0.35">
      <c r="C5" s="20">
        <v>3.1</v>
      </c>
      <c r="D5" s="31" t="s">
        <v>135</v>
      </c>
      <c r="E5" s="32"/>
      <c r="F5" s="33"/>
    </row>
    <row r="6" spans="1:6" ht="30" customHeight="1" x14ac:dyDescent="0.35">
      <c r="C6" s="28">
        <v>3.2</v>
      </c>
      <c r="D6" s="22" t="s">
        <v>130</v>
      </c>
      <c r="E6" s="23"/>
      <c r="F6" s="24"/>
    </row>
    <row r="7" spans="1:6" ht="30" customHeight="1" x14ac:dyDescent="0.35">
      <c r="C7" s="28">
        <v>3.3</v>
      </c>
      <c r="D7" s="22" t="s">
        <v>134</v>
      </c>
      <c r="E7" s="23"/>
      <c r="F7" s="24"/>
    </row>
    <row r="8" spans="1:6" ht="30" customHeight="1" x14ac:dyDescent="0.35">
      <c r="C8" s="28">
        <v>3.4</v>
      </c>
      <c r="D8" s="22" t="s">
        <v>147</v>
      </c>
      <c r="E8" s="23"/>
      <c r="F8" s="24"/>
    </row>
    <row r="9" spans="1:6" ht="30" customHeight="1" x14ac:dyDescent="0.35">
      <c r="C9" s="28">
        <v>3.5</v>
      </c>
      <c r="D9" s="22" t="s">
        <v>157</v>
      </c>
      <c r="E9" s="23"/>
      <c r="F9" s="24"/>
    </row>
    <row r="10" spans="1:6" ht="30" customHeight="1" x14ac:dyDescent="0.35">
      <c r="C10" s="28">
        <v>3.6</v>
      </c>
      <c r="D10" s="22" t="s">
        <v>29</v>
      </c>
      <c r="E10" s="23"/>
      <c r="F10" s="24"/>
    </row>
    <row r="11" spans="1:6" ht="30" customHeight="1" x14ac:dyDescent="0.35">
      <c r="C11" s="28">
        <v>3.7</v>
      </c>
      <c r="D11" s="22" t="s">
        <v>31</v>
      </c>
      <c r="E11" s="23"/>
      <c r="F11" s="24"/>
    </row>
    <row r="12" spans="1:6" ht="30" customHeight="1" x14ac:dyDescent="0.35">
      <c r="C12" s="28">
        <v>3.8</v>
      </c>
      <c r="D12" s="22" t="s">
        <v>32</v>
      </c>
      <c r="E12" s="23"/>
      <c r="F12" s="24"/>
    </row>
    <row r="13" spans="1:6" ht="30" customHeight="1" thickBot="1" x14ac:dyDescent="0.4">
      <c r="C13" s="52">
        <v>3.9</v>
      </c>
      <c r="D13" s="25" t="s">
        <v>146</v>
      </c>
      <c r="E13" s="26"/>
      <c r="F13" s="27"/>
    </row>
    <row r="14" spans="1:6" x14ac:dyDescent="0.35">
      <c r="C14" s="151" t="s">
        <v>14</v>
      </c>
      <c r="D14" s="152"/>
      <c r="E14" s="155" cm="1">
        <f t="array" ref="E14">SUM(COUNTIF(E5:E13,{"yes","na"}))</f>
        <v>0</v>
      </c>
      <c r="F14" s="156"/>
    </row>
    <row r="15" spans="1:6" ht="15" thickBot="1" x14ac:dyDescent="0.4">
      <c r="C15" s="153" t="s">
        <v>15</v>
      </c>
      <c r="D15" s="154"/>
      <c r="E15" s="157">
        <f>E14/9</f>
        <v>0</v>
      </c>
      <c r="F15" s="158"/>
    </row>
  </sheetData>
  <mergeCells count="6">
    <mergeCell ref="A1:B1"/>
    <mergeCell ref="C3:F3"/>
    <mergeCell ref="C14:D14"/>
    <mergeCell ref="C15:D15"/>
    <mergeCell ref="E14:F14"/>
    <mergeCell ref="E15:F15"/>
  </mergeCells>
  <dataValidations count="1">
    <dataValidation type="list" allowBlank="1" showInputMessage="1" showErrorMessage="1" sqref="E5:E13" xr:uid="{00000000-0002-0000-0500-000000000000}">
      <formula1>"Yes,No,NA"</formula1>
    </dataValidation>
  </dataValidations>
  <hyperlinks>
    <hyperlink ref="A1:B1" location="'Overview &amp; Scores'!A1" display="Overview &amp; Scores" xr:uid="{07743F94-3E52-421B-8E21-F2EC82621CA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  <pageSetUpPr fitToPage="1"/>
  </sheetPr>
  <dimension ref="A1:F14"/>
  <sheetViews>
    <sheetView workbookViewId="0">
      <selection sqref="A1:B1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59" t="s">
        <v>91</v>
      </c>
      <c r="D3" s="160"/>
      <c r="E3" s="160"/>
      <c r="F3" s="161"/>
    </row>
    <row r="4" spans="1:6" x14ac:dyDescent="0.35">
      <c r="C4" s="20" t="s">
        <v>86</v>
      </c>
      <c r="D4" s="21" t="s">
        <v>85</v>
      </c>
      <c r="E4" s="29" t="s">
        <v>87</v>
      </c>
      <c r="F4" s="30" t="s">
        <v>10</v>
      </c>
    </row>
    <row r="5" spans="1:6" ht="30" customHeight="1" x14ac:dyDescent="0.35">
      <c r="C5" s="28">
        <v>4.0999999999999996</v>
      </c>
      <c r="D5" s="31" t="s">
        <v>135</v>
      </c>
      <c r="E5" s="23"/>
      <c r="F5" s="24"/>
    </row>
    <row r="6" spans="1:6" ht="30" customHeight="1" x14ac:dyDescent="0.35">
      <c r="C6" s="28">
        <v>4.2</v>
      </c>
      <c r="D6" s="22" t="s">
        <v>130</v>
      </c>
      <c r="E6" s="23"/>
      <c r="F6" s="24"/>
    </row>
    <row r="7" spans="1:6" ht="30" customHeight="1" x14ac:dyDescent="0.35">
      <c r="C7" s="28">
        <v>4.3</v>
      </c>
      <c r="D7" s="22" t="s">
        <v>134</v>
      </c>
      <c r="E7" s="23"/>
      <c r="F7" s="24"/>
    </row>
    <row r="8" spans="1:6" ht="30" customHeight="1" x14ac:dyDescent="0.35">
      <c r="C8" s="28">
        <v>4.4000000000000004</v>
      </c>
      <c r="D8" s="22" t="s">
        <v>147</v>
      </c>
      <c r="E8" s="23"/>
      <c r="F8" s="24"/>
    </row>
    <row r="9" spans="1:6" ht="30" customHeight="1" x14ac:dyDescent="0.35">
      <c r="C9" s="28">
        <v>4.5</v>
      </c>
      <c r="D9" s="22" t="s">
        <v>148</v>
      </c>
      <c r="E9" s="23"/>
      <c r="F9" s="24"/>
    </row>
    <row r="10" spans="1:6" ht="30" customHeight="1" x14ac:dyDescent="0.35">
      <c r="C10" s="28">
        <v>4.5999999999999996</v>
      </c>
      <c r="D10" s="22" t="s">
        <v>149</v>
      </c>
      <c r="E10" s="23"/>
      <c r="F10" s="24"/>
    </row>
    <row r="11" spans="1:6" ht="30" customHeight="1" x14ac:dyDescent="0.35">
      <c r="C11" s="28">
        <v>4.7</v>
      </c>
      <c r="D11" s="22" t="s">
        <v>30</v>
      </c>
      <c r="E11" s="23"/>
      <c r="F11" s="24"/>
    </row>
    <row r="12" spans="1:6" ht="30" customHeight="1" thickBot="1" x14ac:dyDescent="0.4">
      <c r="C12" s="28">
        <v>4.8</v>
      </c>
      <c r="D12" s="25" t="s">
        <v>32</v>
      </c>
      <c r="E12" s="26"/>
      <c r="F12" s="27"/>
    </row>
    <row r="13" spans="1:6" x14ac:dyDescent="0.35">
      <c r="C13" s="166" t="s">
        <v>14</v>
      </c>
      <c r="D13" s="167"/>
      <c r="E13" s="164">
        <f>SUM(COUNTIF(E5:E12,{"yes","na"}))</f>
        <v>0</v>
      </c>
      <c r="F13" s="165"/>
    </row>
    <row r="14" spans="1:6" ht="15" thickBot="1" x14ac:dyDescent="0.4">
      <c r="C14" s="168" t="s">
        <v>15</v>
      </c>
      <c r="D14" s="169"/>
      <c r="E14" s="162">
        <f>E13/8</f>
        <v>0</v>
      </c>
      <c r="F14" s="163"/>
    </row>
  </sheetData>
  <mergeCells count="6">
    <mergeCell ref="A1:B1"/>
    <mergeCell ref="C3:F3"/>
    <mergeCell ref="E14:F14"/>
    <mergeCell ref="E13:F13"/>
    <mergeCell ref="C13:D13"/>
    <mergeCell ref="C14:D14"/>
  </mergeCells>
  <dataValidations count="1">
    <dataValidation type="list" allowBlank="1" showInputMessage="1" showErrorMessage="1" sqref="E5:E12" xr:uid="{00000000-0002-0000-0600-000000000000}">
      <formula1>"Yes,No,NA"</formula1>
    </dataValidation>
  </dataValidations>
  <hyperlinks>
    <hyperlink ref="A1:B1" location="'Overview &amp; Scores'!A1" display="Overview &amp; Scores" xr:uid="{55F4DCD7-0962-4CE1-B1DD-E59DB8A10238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  <pageSetUpPr fitToPage="1"/>
  </sheetPr>
  <dimension ref="A1:F21"/>
  <sheetViews>
    <sheetView workbookViewId="0">
      <selection sqref="A1:B1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70" t="s">
        <v>92</v>
      </c>
      <c r="D3" s="171"/>
      <c r="E3" s="171"/>
      <c r="F3" s="172"/>
    </row>
    <row r="4" spans="1:6" ht="15" thickBot="1" x14ac:dyDescent="0.4">
      <c r="C4" s="47" t="s">
        <v>86</v>
      </c>
      <c r="D4" s="16" t="s">
        <v>85</v>
      </c>
      <c r="E4" s="16" t="s">
        <v>87</v>
      </c>
      <c r="F4" s="17" t="s">
        <v>10</v>
      </c>
    </row>
    <row r="5" spans="1:6" ht="30" customHeight="1" x14ac:dyDescent="0.35">
      <c r="C5" s="38">
        <v>5.0999999999999996</v>
      </c>
      <c r="D5" s="31" t="s">
        <v>150</v>
      </c>
      <c r="E5" s="32"/>
      <c r="F5" s="58"/>
    </row>
    <row r="6" spans="1:6" ht="30" customHeight="1" x14ac:dyDescent="0.35">
      <c r="C6" s="54">
        <v>5.2</v>
      </c>
      <c r="D6" s="22" t="s">
        <v>154</v>
      </c>
      <c r="E6" s="23"/>
      <c r="F6" s="39"/>
    </row>
    <row r="7" spans="1:6" ht="43.5" x14ac:dyDescent="0.35">
      <c r="C7" s="54">
        <v>5.3</v>
      </c>
      <c r="D7" s="22" t="s">
        <v>151</v>
      </c>
      <c r="E7" s="23"/>
      <c r="F7" s="39"/>
    </row>
    <row r="8" spans="1:6" ht="30" customHeight="1" x14ac:dyDescent="0.35">
      <c r="C8" s="54">
        <v>5.4</v>
      </c>
      <c r="D8" s="22" t="s">
        <v>152</v>
      </c>
      <c r="E8" s="23"/>
      <c r="F8" s="39"/>
    </row>
    <row r="9" spans="1:6" ht="30" customHeight="1" x14ac:dyDescent="0.35">
      <c r="C9" s="54">
        <v>5.5</v>
      </c>
      <c r="D9" s="22" t="s">
        <v>153</v>
      </c>
      <c r="E9" s="23"/>
      <c r="F9" s="39"/>
    </row>
    <row r="10" spans="1:6" ht="30" customHeight="1" x14ac:dyDescent="0.35">
      <c r="C10" s="54">
        <v>5.6</v>
      </c>
      <c r="D10" s="22" t="s">
        <v>134</v>
      </c>
      <c r="E10" s="23"/>
      <c r="F10" s="39"/>
    </row>
    <row r="11" spans="1:6" ht="30" customHeight="1" x14ac:dyDescent="0.35">
      <c r="C11" s="54">
        <v>5.7</v>
      </c>
      <c r="D11" s="22" t="s">
        <v>155</v>
      </c>
      <c r="E11" s="23"/>
      <c r="F11" s="39"/>
    </row>
    <row r="12" spans="1:6" ht="30" customHeight="1" x14ac:dyDescent="0.35">
      <c r="C12" s="54">
        <v>5.8</v>
      </c>
      <c r="D12" s="22" t="s">
        <v>156</v>
      </c>
      <c r="E12" s="23"/>
      <c r="F12" s="39"/>
    </row>
    <row r="13" spans="1:6" ht="30" customHeight="1" thickBot="1" x14ac:dyDescent="0.4">
      <c r="C13" s="54">
        <v>5.9</v>
      </c>
      <c r="D13" s="25" t="s">
        <v>163</v>
      </c>
      <c r="E13" s="26"/>
      <c r="F13" s="40"/>
    </row>
    <row r="14" spans="1:6" ht="15" thickBot="1" x14ac:dyDescent="0.4">
      <c r="C14" s="94"/>
      <c r="D14" s="93" t="s">
        <v>16</v>
      </c>
      <c r="E14" s="95"/>
      <c r="F14" s="96"/>
    </row>
    <row r="15" spans="1:6" ht="30" customHeight="1" x14ac:dyDescent="0.35">
      <c r="C15" s="59">
        <v>5.0999999999999996</v>
      </c>
      <c r="D15" s="31" t="s">
        <v>158</v>
      </c>
      <c r="E15" s="32"/>
      <c r="F15" s="58"/>
    </row>
    <row r="16" spans="1:6" ht="30" customHeight="1" x14ac:dyDescent="0.35">
      <c r="C16" s="54">
        <v>5.1100000000000003</v>
      </c>
      <c r="D16" s="22" t="s">
        <v>159</v>
      </c>
      <c r="E16" s="23"/>
      <c r="F16" s="39"/>
    </row>
    <row r="17" spans="3:6" ht="30" customHeight="1" x14ac:dyDescent="0.35">
      <c r="C17" s="54">
        <v>5.12</v>
      </c>
      <c r="D17" s="22" t="s">
        <v>160</v>
      </c>
      <c r="E17" s="23"/>
      <c r="F17" s="39"/>
    </row>
    <row r="18" spans="3:6" ht="30" customHeight="1" x14ac:dyDescent="0.35">
      <c r="C18" s="54">
        <v>5.13</v>
      </c>
      <c r="D18" s="22" t="s">
        <v>162</v>
      </c>
      <c r="E18" s="23"/>
      <c r="F18" s="39"/>
    </row>
    <row r="19" spans="3:6" ht="30" customHeight="1" thickBot="1" x14ac:dyDescent="0.4">
      <c r="C19" s="56">
        <v>5.14</v>
      </c>
      <c r="D19" s="44" t="s">
        <v>161</v>
      </c>
      <c r="E19" s="45"/>
      <c r="F19" s="46"/>
    </row>
    <row r="20" spans="3:6" x14ac:dyDescent="0.35">
      <c r="C20" s="175" t="s">
        <v>14</v>
      </c>
      <c r="D20" s="176"/>
      <c r="E20" s="176">
        <f>SUM(COUNTIF(E5:E19,{"yes","na"}))</f>
        <v>0</v>
      </c>
      <c r="F20" s="177"/>
    </row>
    <row r="21" spans="3:6" ht="15" thickBot="1" x14ac:dyDescent="0.4">
      <c r="C21" s="173" t="s">
        <v>13</v>
      </c>
      <c r="D21" s="174"/>
      <c r="E21" s="178">
        <f>E20/14</f>
        <v>0</v>
      </c>
      <c r="F21" s="179"/>
    </row>
  </sheetData>
  <mergeCells count="6">
    <mergeCell ref="A1:B1"/>
    <mergeCell ref="C3:F3"/>
    <mergeCell ref="C21:D21"/>
    <mergeCell ref="C20:D20"/>
    <mergeCell ref="E20:F20"/>
    <mergeCell ref="E21:F21"/>
  </mergeCells>
  <dataValidations count="1">
    <dataValidation type="list" allowBlank="1" showInputMessage="1" showErrorMessage="1" sqref="E5:E19" xr:uid="{00000000-0002-0000-0700-000000000000}">
      <formula1>"Yes,No,NA"</formula1>
    </dataValidation>
  </dataValidations>
  <hyperlinks>
    <hyperlink ref="A1:B1" location="'Overview &amp; Scores'!A1" display="Overview &amp; Scores" xr:uid="{1F1E03DA-B9C6-4402-B159-E906F154AEF8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A1:F19"/>
  <sheetViews>
    <sheetView workbookViewId="0">
      <selection activeCell="E14" sqref="E5:E14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80" t="s">
        <v>245</v>
      </c>
      <c r="D3" s="181"/>
      <c r="E3" s="181"/>
      <c r="F3" s="182"/>
    </row>
    <row r="4" spans="1:6" ht="15" thickBot="1" x14ac:dyDescent="0.4">
      <c r="C4" s="47" t="s">
        <v>86</v>
      </c>
      <c r="D4" s="16" t="s">
        <v>85</v>
      </c>
      <c r="E4" s="16" t="s">
        <v>87</v>
      </c>
      <c r="F4" s="17" t="s">
        <v>10</v>
      </c>
    </row>
    <row r="5" spans="1:6" ht="30" customHeight="1" x14ac:dyDescent="0.35">
      <c r="C5" s="20">
        <v>6.1</v>
      </c>
      <c r="D5" s="31" t="s">
        <v>164</v>
      </c>
      <c r="E5" s="32"/>
      <c r="F5" s="33"/>
    </row>
    <row r="6" spans="1:6" ht="30" customHeight="1" x14ac:dyDescent="0.35">
      <c r="C6" s="28">
        <v>6.2</v>
      </c>
      <c r="D6" s="22" t="s">
        <v>69</v>
      </c>
      <c r="E6" s="23"/>
      <c r="F6" s="24"/>
    </row>
    <row r="7" spans="1:6" ht="30" customHeight="1" x14ac:dyDescent="0.35">
      <c r="C7" s="20">
        <v>6.3</v>
      </c>
      <c r="D7" s="22" t="s">
        <v>167</v>
      </c>
      <c r="E7" s="23"/>
      <c r="F7" s="24"/>
    </row>
    <row r="8" spans="1:6" ht="30" customHeight="1" x14ac:dyDescent="0.35">
      <c r="C8" s="28">
        <v>6.4</v>
      </c>
      <c r="D8" s="22" t="s">
        <v>168</v>
      </c>
      <c r="E8" s="23"/>
      <c r="F8" s="24"/>
    </row>
    <row r="9" spans="1:6" ht="30" customHeight="1" x14ac:dyDescent="0.35">
      <c r="C9" s="20">
        <v>6.5</v>
      </c>
      <c r="D9" s="22" t="s">
        <v>147</v>
      </c>
      <c r="E9" s="23"/>
      <c r="F9" s="60"/>
    </row>
    <row r="10" spans="1:6" ht="30" customHeight="1" x14ac:dyDescent="0.35">
      <c r="C10" s="28">
        <v>6.6</v>
      </c>
      <c r="D10" s="22" t="s">
        <v>169</v>
      </c>
      <c r="E10" s="23"/>
      <c r="F10" s="24"/>
    </row>
    <row r="11" spans="1:6" ht="30" customHeight="1" x14ac:dyDescent="0.35">
      <c r="C11" s="20">
        <v>6.7</v>
      </c>
      <c r="D11" s="22" t="s">
        <v>170</v>
      </c>
      <c r="E11" s="23"/>
      <c r="F11" s="60"/>
    </row>
    <row r="12" spans="1:6" ht="30" customHeight="1" x14ac:dyDescent="0.35">
      <c r="C12" s="28">
        <v>6.8</v>
      </c>
      <c r="D12" s="22" t="s">
        <v>172</v>
      </c>
      <c r="E12" s="23"/>
      <c r="F12" s="24"/>
    </row>
    <row r="13" spans="1:6" ht="30" customHeight="1" x14ac:dyDescent="0.35">
      <c r="C13" s="20">
        <v>6.9</v>
      </c>
      <c r="D13" s="22" t="s">
        <v>171</v>
      </c>
      <c r="E13" s="23"/>
      <c r="F13" s="24"/>
    </row>
    <row r="14" spans="1:6" ht="30" customHeight="1" x14ac:dyDescent="0.35">
      <c r="C14" s="51">
        <v>6.1</v>
      </c>
      <c r="D14" s="22" t="s">
        <v>173</v>
      </c>
      <c r="E14" s="23"/>
      <c r="F14" s="24"/>
    </row>
    <row r="15" spans="1:6" ht="30" customHeight="1" x14ac:dyDescent="0.35">
      <c r="C15" s="28">
        <v>6.11</v>
      </c>
      <c r="D15" s="22" t="s">
        <v>165</v>
      </c>
      <c r="E15" s="23"/>
      <c r="F15" s="24"/>
    </row>
    <row r="16" spans="1:6" ht="30" customHeight="1" x14ac:dyDescent="0.35">
      <c r="C16" s="28">
        <v>6.12</v>
      </c>
      <c r="D16" s="22" t="s">
        <v>174</v>
      </c>
      <c r="E16" s="23"/>
      <c r="F16" s="24"/>
    </row>
    <row r="17" spans="3:6" ht="30" customHeight="1" x14ac:dyDescent="0.35">
      <c r="C17" s="52">
        <v>6.13</v>
      </c>
      <c r="D17" s="25" t="s">
        <v>166</v>
      </c>
      <c r="E17" s="26"/>
      <c r="F17" s="27"/>
    </row>
    <row r="18" spans="3:6" x14ac:dyDescent="0.35">
      <c r="C18" s="185" t="s">
        <v>12</v>
      </c>
      <c r="D18" s="186"/>
      <c r="E18" s="189">
        <f>SUM(COUNTIF(E5:E17,{"yes","na"}))</f>
        <v>0</v>
      </c>
      <c r="F18" s="190"/>
    </row>
    <row r="19" spans="3:6" ht="15" thickBot="1" x14ac:dyDescent="0.4">
      <c r="C19" s="183" t="s">
        <v>13</v>
      </c>
      <c r="D19" s="184"/>
      <c r="E19" s="187">
        <f>E18/13</f>
        <v>0</v>
      </c>
      <c r="F19" s="188"/>
    </row>
  </sheetData>
  <mergeCells count="6">
    <mergeCell ref="A1:B1"/>
    <mergeCell ref="C3:F3"/>
    <mergeCell ref="C19:D19"/>
    <mergeCell ref="C18:D18"/>
    <mergeCell ref="E19:F19"/>
    <mergeCell ref="E18:F18"/>
  </mergeCells>
  <dataValidations count="1">
    <dataValidation type="list" allowBlank="1" showInputMessage="1" showErrorMessage="1" sqref="E5:E17" xr:uid="{00000000-0002-0000-0900-000000000000}">
      <formula1>"Yes,No,NA"</formula1>
    </dataValidation>
  </dataValidations>
  <hyperlinks>
    <hyperlink ref="A1:B1" location="'Overview &amp; Scores'!A1" display="Overview &amp; Scores" xr:uid="{33D58FC9-64E3-4D76-A92D-42F9070207AA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99CC"/>
    <pageSetUpPr fitToPage="1"/>
  </sheetPr>
  <dimension ref="A1:F15"/>
  <sheetViews>
    <sheetView workbookViewId="0">
      <selection sqref="A1:B1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91" t="s">
        <v>93</v>
      </c>
      <c r="D3" s="192"/>
      <c r="E3" s="192"/>
      <c r="F3" s="193"/>
    </row>
    <row r="4" spans="1:6" ht="15" thickBot="1" x14ac:dyDescent="0.4">
      <c r="C4" s="97" t="s">
        <v>86</v>
      </c>
      <c r="D4" s="83" t="s">
        <v>85</v>
      </c>
      <c r="E4" s="83" t="s">
        <v>87</v>
      </c>
      <c r="F4" s="98" t="s">
        <v>10</v>
      </c>
    </row>
    <row r="5" spans="1:6" ht="30" customHeight="1" x14ac:dyDescent="0.35">
      <c r="C5" s="85">
        <v>7.1</v>
      </c>
      <c r="D5" s="86" t="s">
        <v>175</v>
      </c>
      <c r="E5" s="87"/>
      <c r="F5" s="88"/>
    </row>
    <row r="6" spans="1:6" ht="30" customHeight="1" x14ac:dyDescent="0.35">
      <c r="C6" s="54">
        <v>7.2</v>
      </c>
      <c r="D6" s="22" t="s">
        <v>176</v>
      </c>
      <c r="E6" s="23"/>
      <c r="F6" s="39"/>
    </row>
    <row r="7" spans="1:6" ht="30" customHeight="1" x14ac:dyDescent="0.35">
      <c r="C7" s="89">
        <v>7.3</v>
      </c>
      <c r="D7" s="90" t="s">
        <v>177</v>
      </c>
      <c r="E7" s="91"/>
      <c r="F7" s="92"/>
    </row>
    <row r="8" spans="1:6" ht="43.5" x14ac:dyDescent="0.35">
      <c r="C8" s="54">
        <v>7.4</v>
      </c>
      <c r="D8" s="22" t="s">
        <v>180</v>
      </c>
      <c r="E8" s="23"/>
      <c r="F8" s="39"/>
    </row>
    <row r="9" spans="1:6" ht="43.5" x14ac:dyDescent="0.35">
      <c r="C9" s="89">
        <v>7.5</v>
      </c>
      <c r="D9" s="90" t="s">
        <v>178</v>
      </c>
      <c r="E9" s="91"/>
      <c r="F9" s="92"/>
    </row>
    <row r="10" spans="1:6" ht="30" customHeight="1" x14ac:dyDescent="0.35">
      <c r="C10" s="54">
        <v>7.6</v>
      </c>
      <c r="D10" s="22" t="s">
        <v>17</v>
      </c>
      <c r="E10" s="23"/>
      <c r="F10" s="39"/>
    </row>
    <row r="11" spans="1:6" ht="30" customHeight="1" x14ac:dyDescent="0.35">
      <c r="C11" s="89">
        <v>7.7</v>
      </c>
      <c r="D11" s="90" t="s">
        <v>179</v>
      </c>
      <c r="E11" s="91"/>
      <c r="F11" s="92"/>
    </row>
    <row r="12" spans="1:6" ht="30" customHeight="1" x14ac:dyDescent="0.35">
      <c r="C12" s="54">
        <v>7.8</v>
      </c>
      <c r="D12" s="22" t="s">
        <v>181</v>
      </c>
      <c r="E12" s="23"/>
      <c r="F12" s="39"/>
    </row>
    <row r="13" spans="1:6" ht="30" customHeight="1" thickBot="1" x14ac:dyDescent="0.4">
      <c r="C13" s="99">
        <v>7.9</v>
      </c>
      <c r="D13" s="100" t="s">
        <v>182</v>
      </c>
      <c r="E13" s="101"/>
      <c r="F13" s="102"/>
    </row>
    <row r="14" spans="1:6" x14ac:dyDescent="0.35">
      <c r="C14" s="200" t="s">
        <v>12</v>
      </c>
      <c r="D14" s="201"/>
      <c r="E14" s="196">
        <f>SUM(COUNTIF(E5:E13,{"yes","na"}))</f>
        <v>0</v>
      </c>
      <c r="F14" s="197"/>
    </row>
    <row r="15" spans="1:6" ht="15" thickBot="1" x14ac:dyDescent="0.4">
      <c r="C15" s="198" t="s">
        <v>15</v>
      </c>
      <c r="D15" s="199"/>
      <c r="E15" s="194">
        <f>E14/9</f>
        <v>0</v>
      </c>
      <c r="F15" s="195"/>
    </row>
  </sheetData>
  <mergeCells count="6">
    <mergeCell ref="A1:B1"/>
    <mergeCell ref="C3:F3"/>
    <mergeCell ref="E15:F15"/>
    <mergeCell ref="E14:F14"/>
    <mergeCell ref="C15:D15"/>
    <mergeCell ref="C14:D14"/>
  </mergeCells>
  <dataValidations count="1">
    <dataValidation type="list" allowBlank="1" showInputMessage="1" showErrorMessage="1" sqref="E5:E13" xr:uid="{00000000-0002-0000-0B00-000000000000}">
      <formula1>"Yes,No,NA"</formula1>
    </dataValidation>
  </dataValidations>
  <hyperlinks>
    <hyperlink ref="A1:B1" location="'Overview &amp; Scores'!A1" display="Overview &amp; Scores" xr:uid="{E2FFC72C-BFF2-4552-9762-4B6C59229323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/>
    <pageSetUpPr fitToPage="1"/>
  </sheetPr>
  <dimension ref="A1:F14"/>
  <sheetViews>
    <sheetView workbookViewId="0">
      <selection sqref="A1:B1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202" t="s">
        <v>94</v>
      </c>
      <c r="D3" s="203"/>
      <c r="E3" s="203"/>
      <c r="F3" s="204"/>
    </row>
    <row r="4" spans="1:6" ht="15" thickBot="1" x14ac:dyDescent="0.4">
      <c r="C4" s="47" t="s">
        <v>86</v>
      </c>
      <c r="D4" s="16" t="s">
        <v>85</v>
      </c>
      <c r="E4" s="16" t="s">
        <v>87</v>
      </c>
      <c r="F4" s="17" t="s">
        <v>10</v>
      </c>
    </row>
    <row r="5" spans="1:6" ht="30" customHeight="1" x14ac:dyDescent="0.35">
      <c r="C5" s="20">
        <v>8.1</v>
      </c>
      <c r="D5" s="31" t="s">
        <v>183</v>
      </c>
      <c r="E5" s="32"/>
      <c r="F5" s="33"/>
    </row>
    <row r="6" spans="1:6" ht="30" customHeight="1" x14ac:dyDescent="0.35">
      <c r="C6" s="28">
        <v>8.1999999999999993</v>
      </c>
      <c r="D6" s="22" t="s">
        <v>184</v>
      </c>
      <c r="E6" s="23"/>
      <c r="F6" s="24"/>
    </row>
    <row r="7" spans="1:6" ht="30" customHeight="1" x14ac:dyDescent="0.35">
      <c r="C7" s="28">
        <v>8.3000000000000007</v>
      </c>
      <c r="D7" s="22" t="s">
        <v>185</v>
      </c>
      <c r="E7" s="23"/>
      <c r="F7" s="24"/>
    </row>
    <row r="8" spans="1:6" ht="30" customHeight="1" x14ac:dyDescent="0.35">
      <c r="C8" s="28">
        <v>8.4</v>
      </c>
      <c r="D8" s="22" t="s">
        <v>186</v>
      </c>
      <c r="E8" s="23"/>
      <c r="F8" s="24"/>
    </row>
    <row r="9" spans="1:6" ht="30" customHeight="1" x14ac:dyDescent="0.35">
      <c r="C9" s="28">
        <v>8.5</v>
      </c>
      <c r="D9" s="22" t="s">
        <v>187</v>
      </c>
      <c r="E9" s="23"/>
      <c r="F9" s="24"/>
    </row>
    <row r="10" spans="1:6" ht="30" customHeight="1" x14ac:dyDescent="0.35">
      <c r="C10" s="28">
        <v>8.6</v>
      </c>
      <c r="D10" s="22" t="s">
        <v>188</v>
      </c>
      <c r="E10" s="23"/>
      <c r="F10" s="24"/>
    </row>
    <row r="11" spans="1:6" ht="30" customHeight="1" x14ac:dyDescent="0.35">
      <c r="C11" s="28">
        <v>8.6999999999999993</v>
      </c>
      <c r="D11" s="22" t="s">
        <v>189</v>
      </c>
      <c r="E11" s="23"/>
      <c r="F11" s="24"/>
    </row>
    <row r="12" spans="1:6" ht="30" customHeight="1" x14ac:dyDescent="0.35">
      <c r="C12" s="52">
        <v>8.8000000000000007</v>
      </c>
      <c r="D12" s="25" t="s">
        <v>190</v>
      </c>
      <c r="E12" s="26"/>
      <c r="F12" s="27"/>
    </row>
    <row r="13" spans="1:6" x14ac:dyDescent="0.35">
      <c r="C13" s="211" t="s">
        <v>12</v>
      </c>
      <c r="D13" s="212"/>
      <c r="E13" s="207">
        <f>SUM(COUNTIF(E5:E12,{"yes","na"}))</f>
        <v>0</v>
      </c>
      <c r="F13" s="208"/>
    </row>
    <row r="14" spans="1:6" ht="15" thickBot="1" x14ac:dyDescent="0.4">
      <c r="C14" s="209" t="s">
        <v>13</v>
      </c>
      <c r="D14" s="210"/>
      <c r="E14" s="205">
        <f>E13/8</f>
        <v>0</v>
      </c>
      <c r="F14" s="206"/>
    </row>
  </sheetData>
  <mergeCells count="6">
    <mergeCell ref="A1:B1"/>
    <mergeCell ref="C3:F3"/>
    <mergeCell ref="E14:F14"/>
    <mergeCell ref="E13:F13"/>
    <mergeCell ref="C14:D14"/>
    <mergeCell ref="C13:D13"/>
  </mergeCells>
  <dataValidations count="1">
    <dataValidation type="list" allowBlank="1" showInputMessage="1" showErrorMessage="1" sqref="E5:E12" xr:uid="{00000000-0002-0000-1400-000000000000}">
      <formula1>"Yes,No,NA"</formula1>
    </dataValidation>
  </dataValidations>
  <hyperlinks>
    <hyperlink ref="A1:B1" location="'Overview &amp; Scores'!A1" display="Overview &amp; Scores" xr:uid="{2538CF23-0173-4B98-932C-3285A4B9506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/>
    <pageSetUpPr fitToPage="1"/>
  </sheetPr>
  <dimension ref="A1:F17"/>
  <sheetViews>
    <sheetView workbookViewId="0">
      <selection activeCell="E5" sqref="E5:E13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213" t="s">
        <v>244</v>
      </c>
      <c r="D3" s="214"/>
      <c r="E3" s="214"/>
      <c r="F3" s="215"/>
    </row>
    <row r="4" spans="1:6" ht="15" thickBot="1" x14ac:dyDescent="0.4">
      <c r="C4" s="62" t="s">
        <v>86</v>
      </c>
      <c r="D4" s="36" t="s">
        <v>85</v>
      </c>
      <c r="E4" s="16" t="s">
        <v>87</v>
      </c>
      <c r="F4" s="63" t="s">
        <v>10</v>
      </c>
    </row>
    <row r="5" spans="1:6" ht="30" customHeight="1" x14ac:dyDescent="0.35">
      <c r="C5" s="61">
        <v>9.1</v>
      </c>
      <c r="D5" s="41" t="s">
        <v>191</v>
      </c>
      <c r="E5" s="42"/>
      <c r="F5" s="57"/>
    </row>
    <row r="6" spans="1:6" ht="30" customHeight="1" x14ac:dyDescent="0.35">
      <c r="C6" s="28">
        <v>9.1999999999999993</v>
      </c>
      <c r="D6" s="22" t="s">
        <v>192</v>
      </c>
      <c r="E6" s="23"/>
      <c r="F6" s="24"/>
    </row>
    <row r="7" spans="1:6" ht="30" customHeight="1" x14ac:dyDescent="0.35">
      <c r="C7" s="20">
        <v>9.3000000000000007</v>
      </c>
      <c r="D7" s="22" t="s">
        <v>193</v>
      </c>
      <c r="E7" s="23"/>
      <c r="F7" s="24"/>
    </row>
    <row r="8" spans="1:6" ht="30" customHeight="1" x14ac:dyDescent="0.35">
      <c r="C8" s="28">
        <v>9.4</v>
      </c>
      <c r="D8" s="22" t="s">
        <v>194</v>
      </c>
      <c r="E8" s="23"/>
      <c r="F8" s="24"/>
    </row>
    <row r="9" spans="1:6" ht="30" customHeight="1" x14ac:dyDescent="0.35">
      <c r="C9" s="20">
        <v>9.5</v>
      </c>
      <c r="D9" s="22" t="s">
        <v>195</v>
      </c>
      <c r="E9" s="23"/>
      <c r="F9" s="24"/>
    </row>
    <row r="10" spans="1:6" ht="30" customHeight="1" x14ac:dyDescent="0.35">
      <c r="C10" s="28">
        <v>9.6</v>
      </c>
      <c r="D10" s="22" t="s">
        <v>18</v>
      </c>
      <c r="E10" s="23"/>
      <c r="F10" s="24"/>
    </row>
    <row r="11" spans="1:6" ht="30" customHeight="1" x14ac:dyDescent="0.35">
      <c r="C11" s="20">
        <v>9.6999999999999993</v>
      </c>
      <c r="D11" s="22" t="s">
        <v>196</v>
      </c>
      <c r="E11" s="23"/>
      <c r="F11" s="24"/>
    </row>
    <row r="12" spans="1:6" ht="30" customHeight="1" x14ac:dyDescent="0.35">
      <c r="C12" s="28">
        <v>9.8000000000000007</v>
      </c>
      <c r="D12" s="22" t="s">
        <v>197</v>
      </c>
      <c r="E12" s="23"/>
      <c r="F12" s="24"/>
    </row>
    <row r="13" spans="1:6" ht="30" customHeight="1" x14ac:dyDescent="0.35">
      <c r="C13" s="20">
        <v>9.9</v>
      </c>
      <c r="D13" s="22" t="s">
        <v>19</v>
      </c>
      <c r="E13" s="23"/>
      <c r="F13" s="24"/>
    </row>
    <row r="14" spans="1:6" ht="30" customHeight="1" x14ac:dyDescent="0.35">
      <c r="C14" s="51">
        <v>9.1</v>
      </c>
      <c r="D14" s="22" t="s">
        <v>20</v>
      </c>
      <c r="E14" s="23"/>
      <c r="F14" s="24"/>
    </row>
    <row r="15" spans="1:6" ht="30" customHeight="1" thickBot="1" x14ac:dyDescent="0.4">
      <c r="C15" s="52">
        <v>9.11</v>
      </c>
      <c r="D15" s="25" t="s">
        <v>198</v>
      </c>
      <c r="E15" s="26"/>
      <c r="F15" s="27"/>
    </row>
    <row r="16" spans="1:6" x14ac:dyDescent="0.35">
      <c r="C16" s="216" t="s">
        <v>12</v>
      </c>
      <c r="D16" s="217"/>
      <c r="E16" s="217">
        <f>SUM(COUNTIF(E5:E15,{"yes","na"}))</f>
        <v>0</v>
      </c>
      <c r="F16" s="218"/>
    </row>
    <row r="17" spans="3:6" ht="15" thickBot="1" x14ac:dyDescent="0.4">
      <c r="C17" s="146" t="s">
        <v>13</v>
      </c>
      <c r="D17" s="147"/>
      <c r="E17" s="219">
        <f>E16/11</f>
        <v>0</v>
      </c>
      <c r="F17" s="220"/>
    </row>
  </sheetData>
  <mergeCells count="6">
    <mergeCell ref="A1:B1"/>
    <mergeCell ref="C3:F3"/>
    <mergeCell ref="C16:D16"/>
    <mergeCell ref="E16:F16"/>
    <mergeCell ref="E17:F17"/>
    <mergeCell ref="C17:D17"/>
  </mergeCells>
  <dataValidations count="1">
    <dataValidation type="list" allowBlank="1" showInputMessage="1" showErrorMessage="1" sqref="E5:E15" xr:uid="{00000000-0002-0000-1500-000000000000}">
      <formula1>"Yes,No,NA"</formula1>
    </dataValidation>
  </dataValidations>
  <hyperlinks>
    <hyperlink ref="A1:B1" location="'Overview &amp; Scores'!A1" display="Overview &amp; Scores" xr:uid="{B348F79C-6554-435D-91FA-49725E05D1DF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6"/>
    <pageSetUpPr fitToPage="1"/>
  </sheetPr>
  <dimension ref="A1:F16"/>
  <sheetViews>
    <sheetView workbookViewId="0">
      <selection activeCell="E5" sqref="E5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3" spans="1:6" ht="16" thickBot="1" x14ac:dyDescent="0.4">
      <c r="C3" s="221" t="s">
        <v>243</v>
      </c>
      <c r="D3" s="222"/>
      <c r="E3" s="222"/>
      <c r="F3" s="223"/>
    </row>
    <row r="4" spans="1:6" ht="15" thickBot="1" x14ac:dyDescent="0.4">
      <c r="C4" s="20" t="s">
        <v>86</v>
      </c>
      <c r="D4" s="29" t="s">
        <v>85</v>
      </c>
      <c r="E4" s="16" t="s">
        <v>87</v>
      </c>
      <c r="F4" s="30" t="s">
        <v>10</v>
      </c>
    </row>
    <row r="5" spans="1:6" ht="30" customHeight="1" x14ac:dyDescent="0.35">
      <c r="C5" s="28">
        <v>10.1</v>
      </c>
      <c r="D5" s="22" t="s">
        <v>21</v>
      </c>
      <c r="E5" s="23"/>
      <c r="F5" s="24"/>
    </row>
    <row r="6" spans="1:6" ht="30" customHeight="1" x14ac:dyDescent="0.35">
      <c r="C6" s="28">
        <v>10.199999999999999</v>
      </c>
      <c r="D6" s="22" t="s">
        <v>199</v>
      </c>
      <c r="E6" s="23"/>
      <c r="F6" s="24"/>
    </row>
    <row r="7" spans="1:6" ht="30" customHeight="1" x14ac:dyDescent="0.35">
      <c r="C7" s="28">
        <v>10.3</v>
      </c>
      <c r="D7" s="22" t="s">
        <v>22</v>
      </c>
      <c r="E7" s="23"/>
      <c r="F7" s="24"/>
    </row>
    <row r="8" spans="1:6" ht="30" customHeight="1" x14ac:dyDescent="0.35">
      <c r="C8" s="28">
        <v>10.4</v>
      </c>
      <c r="D8" s="22" t="s">
        <v>200</v>
      </c>
      <c r="E8" s="23"/>
      <c r="F8" s="24"/>
    </row>
    <row r="9" spans="1:6" ht="30" customHeight="1" x14ac:dyDescent="0.35">
      <c r="C9" s="28">
        <v>10.5</v>
      </c>
      <c r="D9" s="22" t="s">
        <v>201</v>
      </c>
      <c r="E9" s="23"/>
      <c r="F9" s="24"/>
    </row>
    <row r="10" spans="1:6" ht="30" customHeight="1" x14ac:dyDescent="0.35">
      <c r="C10" s="28">
        <v>10.6</v>
      </c>
      <c r="D10" s="22" t="s">
        <v>202</v>
      </c>
      <c r="E10" s="23"/>
      <c r="F10" s="24"/>
    </row>
    <row r="11" spans="1:6" ht="30" customHeight="1" x14ac:dyDescent="0.35">
      <c r="C11" s="28">
        <v>10.7</v>
      </c>
      <c r="D11" s="22" t="s">
        <v>203</v>
      </c>
      <c r="E11" s="23"/>
      <c r="F11" s="24"/>
    </row>
    <row r="12" spans="1:6" ht="30" customHeight="1" x14ac:dyDescent="0.35">
      <c r="C12" s="28">
        <v>10.8</v>
      </c>
      <c r="D12" s="22" t="s">
        <v>204</v>
      </c>
      <c r="E12" s="23"/>
      <c r="F12" s="24"/>
    </row>
    <row r="13" spans="1:6" ht="30" customHeight="1" x14ac:dyDescent="0.35">
      <c r="C13" s="28">
        <v>10.9</v>
      </c>
      <c r="D13" s="22" t="s">
        <v>23</v>
      </c>
      <c r="E13" s="23"/>
      <c r="F13" s="24"/>
    </row>
    <row r="14" spans="1:6" ht="30" customHeight="1" thickBot="1" x14ac:dyDescent="0.4">
      <c r="C14" s="64">
        <v>10.1</v>
      </c>
      <c r="D14" s="25" t="s">
        <v>24</v>
      </c>
      <c r="E14" s="26"/>
      <c r="F14" s="27"/>
    </row>
    <row r="15" spans="1:6" x14ac:dyDescent="0.35">
      <c r="C15" s="224" t="s">
        <v>12</v>
      </c>
      <c r="D15" s="225"/>
      <c r="E15" s="230">
        <f>SUM(COUNTIF(E5:E14,{"yes","na"}))</f>
        <v>0</v>
      </c>
      <c r="F15" s="231"/>
    </row>
    <row r="16" spans="1:6" ht="15" thickBot="1" x14ac:dyDescent="0.4">
      <c r="C16" s="226" t="s">
        <v>13</v>
      </c>
      <c r="D16" s="227"/>
      <c r="E16" s="228">
        <f>E15/10</f>
        <v>0</v>
      </c>
      <c r="F16" s="229"/>
    </row>
  </sheetData>
  <mergeCells count="6">
    <mergeCell ref="A1:B1"/>
    <mergeCell ref="C3:F3"/>
    <mergeCell ref="C15:D15"/>
    <mergeCell ref="C16:D16"/>
    <mergeCell ref="E16:F16"/>
    <mergeCell ref="E15:F15"/>
  </mergeCells>
  <dataValidations count="1">
    <dataValidation type="list" allowBlank="1" showInputMessage="1" showErrorMessage="1" sqref="E5:E14" xr:uid="{00000000-0002-0000-1700-000000000000}">
      <formula1>"Yes,No,NA"</formula1>
    </dataValidation>
  </dataValidations>
  <hyperlinks>
    <hyperlink ref="A1:B1" location="'Overview &amp; Scores'!A1" display="Overview &amp; Scores" xr:uid="{CE0A0554-177B-422F-9FCA-42C468204D46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7"/>
    <pageSetUpPr fitToPage="1"/>
  </sheetPr>
  <dimension ref="A1:F14"/>
  <sheetViews>
    <sheetView workbookViewId="0">
      <selection sqref="A1:B1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232" t="s">
        <v>95</v>
      </c>
      <c r="D3" s="233"/>
      <c r="E3" s="233"/>
      <c r="F3" s="234"/>
    </row>
    <row r="4" spans="1:6" ht="15" thickBot="1" x14ac:dyDescent="0.4">
      <c r="C4" s="62" t="s">
        <v>86</v>
      </c>
      <c r="D4" s="36" t="s">
        <v>85</v>
      </c>
      <c r="E4" s="16" t="s">
        <v>87</v>
      </c>
      <c r="F4" s="63" t="s">
        <v>10</v>
      </c>
    </row>
    <row r="5" spans="1:6" ht="29" x14ac:dyDescent="0.35">
      <c r="C5" s="61">
        <v>11.1</v>
      </c>
      <c r="D5" s="41" t="s">
        <v>205</v>
      </c>
      <c r="E5" s="42"/>
      <c r="F5" s="57"/>
    </row>
    <row r="6" spans="1:6" ht="43.5" x14ac:dyDescent="0.35">
      <c r="C6" s="28">
        <v>11.2</v>
      </c>
      <c r="D6" s="22" t="s">
        <v>206</v>
      </c>
      <c r="E6" s="23"/>
      <c r="F6" s="24"/>
    </row>
    <row r="7" spans="1:6" ht="30" customHeight="1" x14ac:dyDescent="0.35">
      <c r="C7" s="20">
        <v>11.3</v>
      </c>
      <c r="D7" s="22" t="s">
        <v>207</v>
      </c>
      <c r="E7" s="23"/>
      <c r="F7" s="24"/>
    </row>
    <row r="8" spans="1:6" ht="58" x14ac:dyDescent="0.35">
      <c r="C8" s="28">
        <v>11.4</v>
      </c>
      <c r="D8" s="22" t="s">
        <v>208</v>
      </c>
      <c r="E8" s="23"/>
      <c r="F8" s="24"/>
    </row>
    <row r="9" spans="1:6" ht="30" customHeight="1" x14ac:dyDescent="0.35">
      <c r="C9" s="20">
        <v>11.5</v>
      </c>
      <c r="D9" s="22" t="s">
        <v>209</v>
      </c>
      <c r="E9" s="23"/>
      <c r="F9" s="24"/>
    </row>
    <row r="10" spans="1:6" ht="30" customHeight="1" x14ac:dyDescent="0.35">
      <c r="C10" s="28">
        <v>11.6</v>
      </c>
      <c r="D10" s="22" t="s">
        <v>210</v>
      </c>
      <c r="E10" s="23"/>
      <c r="F10" s="24"/>
    </row>
    <row r="11" spans="1:6" ht="30" customHeight="1" x14ac:dyDescent="0.35">
      <c r="C11" s="20">
        <v>11.7</v>
      </c>
      <c r="D11" s="22" t="s">
        <v>211</v>
      </c>
      <c r="E11" s="23"/>
      <c r="F11" s="24"/>
    </row>
    <row r="12" spans="1:6" ht="29.5" thickBot="1" x14ac:dyDescent="0.4">
      <c r="C12" s="28">
        <v>11.8</v>
      </c>
      <c r="D12" s="25" t="s">
        <v>212</v>
      </c>
      <c r="E12" s="26"/>
      <c r="F12" s="27"/>
    </row>
    <row r="13" spans="1:6" x14ac:dyDescent="0.35">
      <c r="C13" s="241" t="s">
        <v>12</v>
      </c>
      <c r="D13" s="242"/>
      <c r="E13" s="239">
        <f>SUM(COUNTIF(E5:E12,{"yes","na"}))</f>
        <v>0</v>
      </c>
      <c r="F13" s="240"/>
    </row>
    <row r="14" spans="1:6" ht="15" thickBot="1" x14ac:dyDescent="0.4">
      <c r="C14" s="235" t="s">
        <v>13</v>
      </c>
      <c r="D14" s="236"/>
      <c r="E14" s="237">
        <f>E13/8</f>
        <v>0</v>
      </c>
      <c r="F14" s="238"/>
    </row>
  </sheetData>
  <mergeCells count="6">
    <mergeCell ref="A1:B1"/>
    <mergeCell ref="C3:F3"/>
    <mergeCell ref="C14:D14"/>
    <mergeCell ref="E14:F14"/>
    <mergeCell ref="E13:F13"/>
    <mergeCell ref="C13:D13"/>
  </mergeCells>
  <dataValidations count="1">
    <dataValidation type="list" allowBlank="1" showInputMessage="1" showErrorMessage="1" sqref="E5:E12" xr:uid="{00000000-0002-0000-1900-000000000000}">
      <formula1>"Yes,No,NA"</formula1>
    </dataValidation>
  </dataValidations>
  <hyperlinks>
    <hyperlink ref="A1:B1" location="'Overview &amp; Scores'!A1" display="Overview &amp; Scores" xr:uid="{56418A71-930F-40AA-8D99-FC1D698FC6AD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/>
    <pageSetUpPr fitToPage="1"/>
  </sheetPr>
  <dimension ref="A1:F20"/>
  <sheetViews>
    <sheetView workbookViewId="0">
      <selection activeCell="A3" sqref="A3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243" t="s">
        <v>96</v>
      </c>
      <c r="D3" s="244"/>
      <c r="E3" s="244"/>
      <c r="F3" s="245"/>
    </row>
    <row r="4" spans="1:6" ht="15" thickBot="1" x14ac:dyDescent="0.4">
      <c r="C4" s="20" t="s">
        <v>86</v>
      </c>
      <c r="D4" s="29" t="s">
        <v>85</v>
      </c>
      <c r="E4" s="16" t="s">
        <v>87</v>
      </c>
      <c r="F4" s="30" t="s">
        <v>10</v>
      </c>
    </row>
    <row r="5" spans="1:6" ht="30" customHeight="1" x14ac:dyDescent="0.35">
      <c r="C5" s="28">
        <v>12.1</v>
      </c>
      <c r="D5" s="22" t="s">
        <v>214</v>
      </c>
      <c r="E5" s="23"/>
      <c r="F5" s="24"/>
    </row>
    <row r="6" spans="1:6" ht="30" customHeight="1" x14ac:dyDescent="0.35">
      <c r="C6" s="28">
        <v>12.2</v>
      </c>
      <c r="D6" s="22" t="s">
        <v>215</v>
      </c>
      <c r="E6" s="23"/>
      <c r="F6" s="24"/>
    </row>
    <row r="7" spans="1:6" ht="30" customHeight="1" x14ac:dyDescent="0.35">
      <c r="C7" s="28">
        <v>12.3</v>
      </c>
      <c r="D7" s="22" t="s">
        <v>216</v>
      </c>
      <c r="E7" s="23"/>
      <c r="F7" s="24"/>
    </row>
    <row r="8" spans="1:6" ht="30" customHeight="1" x14ac:dyDescent="0.35">
      <c r="C8" s="28">
        <v>12.4</v>
      </c>
      <c r="D8" s="22" t="s">
        <v>217</v>
      </c>
      <c r="E8" s="23"/>
      <c r="F8" s="24"/>
    </row>
    <row r="9" spans="1:6" ht="30" customHeight="1" x14ac:dyDescent="0.35">
      <c r="C9" s="28">
        <v>12.5</v>
      </c>
      <c r="D9" s="22" t="s">
        <v>224</v>
      </c>
      <c r="E9" s="23"/>
      <c r="F9" s="24"/>
    </row>
    <row r="10" spans="1:6" ht="30" customHeight="1" x14ac:dyDescent="0.35">
      <c r="C10" s="28">
        <v>12.6</v>
      </c>
      <c r="D10" s="22" t="s">
        <v>218</v>
      </c>
      <c r="E10" s="23"/>
      <c r="F10" s="24"/>
    </row>
    <row r="11" spans="1:6" ht="30" customHeight="1" x14ac:dyDescent="0.35">
      <c r="C11" s="28">
        <v>12.7</v>
      </c>
      <c r="D11" s="22" t="s">
        <v>213</v>
      </c>
      <c r="E11" s="23"/>
      <c r="F11" s="24"/>
    </row>
    <row r="12" spans="1:6" ht="30" customHeight="1" x14ac:dyDescent="0.35">
      <c r="C12" s="28">
        <v>12.8</v>
      </c>
      <c r="D12" s="22" t="s">
        <v>25</v>
      </c>
      <c r="E12" s="23"/>
      <c r="F12" s="24"/>
    </row>
    <row r="13" spans="1:6" ht="30" customHeight="1" x14ac:dyDescent="0.35">
      <c r="C13" s="28">
        <v>12.9</v>
      </c>
      <c r="D13" s="22" t="s">
        <v>219</v>
      </c>
      <c r="E13" s="23"/>
      <c r="F13" s="24"/>
    </row>
    <row r="14" spans="1:6" ht="43.5" x14ac:dyDescent="0.35">
      <c r="C14" s="51">
        <v>12.1</v>
      </c>
      <c r="D14" s="22" t="s">
        <v>220</v>
      </c>
      <c r="E14" s="23"/>
      <c r="F14" s="24"/>
    </row>
    <row r="15" spans="1:6" ht="30" customHeight="1" x14ac:dyDescent="0.35">
      <c r="C15" s="28">
        <v>12.11</v>
      </c>
      <c r="D15" s="22" t="s">
        <v>26</v>
      </c>
      <c r="E15" s="23"/>
      <c r="F15" s="24"/>
    </row>
    <row r="16" spans="1:6" ht="30" customHeight="1" x14ac:dyDescent="0.35">
      <c r="C16" s="28">
        <v>12.12</v>
      </c>
      <c r="D16" s="22" t="s">
        <v>225</v>
      </c>
      <c r="E16" s="23"/>
      <c r="F16" s="24"/>
    </row>
    <row r="17" spans="3:6" ht="30" customHeight="1" x14ac:dyDescent="0.35">
      <c r="C17" s="28">
        <v>12.13</v>
      </c>
      <c r="D17" s="22" t="s">
        <v>221</v>
      </c>
      <c r="E17" s="23"/>
      <c r="F17" s="24"/>
    </row>
    <row r="18" spans="3:6" ht="30" customHeight="1" thickBot="1" x14ac:dyDescent="0.4">
      <c r="C18" s="52">
        <v>12.14</v>
      </c>
      <c r="D18" s="25" t="s">
        <v>222</v>
      </c>
      <c r="E18" s="26"/>
      <c r="F18" s="27"/>
    </row>
    <row r="19" spans="3:6" x14ac:dyDescent="0.35">
      <c r="C19" s="175" t="s">
        <v>12</v>
      </c>
      <c r="D19" s="176"/>
      <c r="E19" s="176">
        <f>SUM(COUNTIF(E5:E18,{"yes","na"}))</f>
        <v>0</v>
      </c>
      <c r="F19" s="177"/>
    </row>
    <row r="20" spans="3:6" ht="15" thickBot="1" x14ac:dyDescent="0.4">
      <c r="C20" s="173" t="s">
        <v>13</v>
      </c>
      <c r="D20" s="174"/>
      <c r="E20" s="178">
        <f>E19/14</f>
        <v>0</v>
      </c>
      <c r="F20" s="179"/>
    </row>
  </sheetData>
  <mergeCells count="6">
    <mergeCell ref="A1:B1"/>
    <mergeCell ref="C3:F3"/>
    <mergeCell ref="E20:F20"/>
    <mergeCell ref="E19:F19"/>
    <mergeCell ref="C20:D20"/>
    <mergeCell ref="C19:D19"/>
  </mergeCells>
  <dataValidations count="1">
    <dataValidation type="list" allowBlank="1" showInputMessage="1" showErrorMessage="1" sqref="E5:E18" xr:uid="{00000000-0002-0000-1B00-000000000000}">
      <formula1>"Yes,No,NA"</formula1>
    </dataValidation>
  </dataValidations>
  <hyperlinks>
    <hyperlink ref="A1:B1" location="'Overview &amp; Scores'!A1" display="Overview &amp; Scores" xr:uid="{10938F65-81AD-4153-944C-259870B3649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  <pageSetUpPr fitToPage="1"/>
  </sheetPr>
  <dimension ref="A1:F13"/>
  <sheetViews>
    <sheetView workbookViewId="0">
      <selection activeCell="E5" sqref="E5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246" t="s">
        <v>97</v>
      </c>
      <c r="D3" s="247"/>
      <c r="E3" s="247"/>
      <c r="F3" s="248"/>
    </row>
    <row r="4" spans="1:6" ht="15" thickBot="1" x14ac:dyDescent="0.4">
      <c r="C4" s="20" t="s">
        <v>86</v>
      </c>
      <c r="D4" s="29" t="s">
        <v>85</v>
      </c>
      <c r="E4" s="16" t="s">
        <v>87</v>
      </c>
      <c r="F4" s="30" t="s">
        <v>10</v>
      </c>
    </row>
    <row r="5" spans="1:6" ht="30" customHeight="1" x14ac:dyDescent="0.35">
      <c r="C5" s="28">
        <v>13.1</v>
      </c>
      <c r="D5" s="22" t="s">
        <v>223</v>
      </c>
      <c r="E5" s="23"/>
      <c r="F5" s="24"/>
    </row>
    <row r="6" spans="1:6" ht="30" customHeight="1" x14ac:dyDescent="0.35">
      <c r="C6" s="28">
        <v>13.2</v>
      </c>
      <c r="D6" s="22" t="s">
        <v>226</v>
      </c>
      <c r="E6" s="23"/>
      <c r="F6" s="24"/>
    </row>
    <row r="7" spans="1:6" ht="30" customHeight="1" x14ac:dyDescent="0.35">
      <c r="C7" s="28">
        <v>13.3</v>
      </c>
      <c r="D7" s="22" t="s">
        <v>227</v>
      </c>
      <c r="E7" s="23"/>
      <c r="F7" s="24"/>
    </row>
    <row r="8" spans="1:6" ht="43.5" x14ac:dyDescent="0.35">
      <c r="C8" s="28">
        <v>13.4</v>
      </c>
      <c r="D8" s="22" t="s">
        <v>228</v>
      </c>
      <c r="E8" s="23"/>
      <c r="F8" s="24"/>
    </row>
    <row r="9" spans="1:6" ht="43.5" x14ac:dyDescent="0.35">
      <c r="C9" s="28">
        <v>13.5</v>
      </c>
      <c r="D9" s="22" t="s">
        <v>229</v>
      </c>
      <c r="E9" s="23"/>
      <c r="F9" s="24"/>
    </row>
    <row r="10" spans="1:6" ht="30" customHeight="1" x14ac:dyDescent="0.35">
      <c r="C10" s="28">
        <v>13.6</v>
      </c>
      <c r="D10" s="22" t="s">
        <v>230</v>
      </c>
      <c r="E10" s="23"/>
      <c r="F10" s="24"/>
    </row>
    <row r="11" spans="1:6" ht="30" customHeight="1" thickBot="1" x14ac:dyDescent="0.4">
      <c r="C11" s="52">
        <v>13.7</v>
      </c>
      <c r="D11" s="25" t="s">
        <v>231</v>
      </c>
      <c r="E11" s="26"/>
      <c r="F11" s="27"/>
    </row>
    <row r="12" spans="1:6" x14ac:dyDescent="0.35">
      <c r="C12" s="255" t="s">
        <v>12</v>
      </c>
      <c r="D12" s="256"/>
      <c r="E12" s="251">
        <f>SUM(COUNTIF(E5:E11,{"yes","na"}))</f>
        <v>0</v>
      </c>
      <c r="F12" s="252"/>
    </row>
    <row r="13" spans="1:6" ht="15" thickBot="1" x14ac:dyDescent="0.4">
      <c r="C13" s="253" t="s">
        <v>13</v>
      </c>
      <c r="D13" s="254"/>
      <c r="E13" s="249">
        <f>E12/7</f>
        <v>0</v>
      </c>
      <c r="F13" s="250"/>
    </row>
  </sheetData>
  <mergeCells count="6">
    <mergeCell ref="A1:B1"/>
    <mergeCell ref="C3:F3"/>
    <mergeCell ref="E13:F13"/>
    <mergeCell ref="E12:F12"/>
    <mergeCell ref="C13:D13"/>
    <mergeCell ref="C12:D12"/>
  </mergeCells>
  <dataValidations count="1">
    <dataValidation type="list" allowBlank="1" showInputMessage="1" showErrorMessage="1" sqref="E5:E11" xr:uid="{00000000-0002-0000-1D00-000000000000}">
      <formula1>"Yes,No,NA"</formula1>
    </dataValidation>
  </dataValidations>
  <hyperlinks>
    <hyperlink ref="A1:B1" location="'Overview &amp; Scores'!A1" display="Overview &amp; Scores" xr:uid="{A1E41A2E-28FF-49C2-BDDC-19CAE5DC6511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99CC"/>
    <pageSetUpPr fitToPage="1"/>
  </sheetPr>
  <dimension ref="A1:F14"/>
  <sheetViews>
    <sheetView workbookViewId="0">
      <selection activeCell="E5" sqref="E5"/>
    </sheetView>
  </sheetViews>
  <sheetFormatPr defaultRowHeight="14.5" x14ac:dyDescent="0.35"/>
  <cols>
    <col min="3" max="3" width="12.7265625" customWidth="1"/>
    <col min="4" max="4" width="70.7265625" customWidth="1"/>
    <col min="5" max="5" width="17.7265625" customWidth="1"/>
    <col min="6" max="6" width="40.7265625" customWidth="1"/>
  </cols>
  <sheetData>
    <row r="1" spans="1:6" x14ac:dyDescent="0.35">
      <c r="A1" s="125" t="s">
        <v>240</v>
      </c>
      <c r="B1" s="125"/>
    </row>
    <row r="2" spans="1:6" ht="15" thickBot="1" x14ac:dyDescent="0.4"/>
    <row r="3" spans="1:6" ht="16" thickBot="1" x14ac:dyDescent="0.4">
      <c r="C3" s="191" t="s">
        <v>98</v>
      </c>
      <c r="D3" s="192"/>
      <c r="E3" s="192"/>
      <c r="F3" s="193"/>
    </row>
    <row r="4" spans="1:6" ht="15" thickBot="1" x14ac:dyDescent="0.4">
      <c r="C4" s="81" t="s">
        <v>86</v>
      </c>
      <c r="D4" s="82" t="s">
        <v>85</v>
      </c>
      <c r="E4" s="83" t="s">
        <v>87</v>
      </c>
      <c r="F4" s="84" t="s">
        <v>10</v>
      </c>
    </row>
    <row r="5" spans="1:6" ht="30" customHeight="1" x14ac:dyDescent="0.35">
      <c r="C5" s="85">
        <v>14.1</v>
      </c>
      <c r="D5" s="86" t="s">
        <v>232</v>
      </c>
      <c r="E5" s="87"/>
      <c r="F5" s="88"/>
    </row>
    <row r="6" spans="1:6" ht="30" customHeight="1" x14ac:dyDescent="0.35">
      <c r="C6" s="54">
        <v>14.2</v>
      </c>
      <c r="D6" s="22" t="s">
        <v>233</v>
      </c>
      <c r="E6" s="23"/>
      <c r="F6" s="79"/>
    </row>
    <row r="7" spans="1:6" ht="43.5" x14ac:dyDescent="0.35">
      <c r="C7" s="89">
        <v>14.3</v>
      </c>
      <c r="D7" s="90" t="s">
        <v>234</v>
      </c>
      <c r="E7" s="91"/>
      <c r="F7" s="92"/>
    </row>
    <row r="8" spans="1:6" ht="29" x14ac:dyDescent="0.35">
      <c r="C8" s="54">
        <v>14.4</v>
      </c>
      <c r="D8" s="22" t="s">
        <v>235</v>
      </c>
      <c r="E8" s="23"/>
      <c r="F8" s="39"/>
    </row>
    <row r="9" spans="1:6" ht="30" customHeight="1" x14ac:dyDescent="0.35">
      <c r="C9" s="89">
        <v>14.5</v>
      </c>
      <c r="D9" s="90" t="s">
        <v>239</v>
      </c>
      <c r="E9" s="91"/>
      <c r="F9" s="92"/>
    </row>
    <row r="10" spans="1:6" ht="30" customHeight="1" x14ac:dyDescent="0.35">
      <c r="C10" s="54">
        <v>14.6</v>
      </c>
      <c r="D10" s="22" t="s">
        <v>236</v>
      </c>
      <c r="E10" s="23"/>
      <c r="F10" s="39"/>
    </row>
    <row r="11" spans="1:6" ht="30" customHeight="1" x14ac:dyDescent="0.35">
      <c r="C11" s="89">
        <v>14.7</v>
      </c>
      <c r="D11" s="90" t="s">
        <v>237</v>
      </c>
      <c r="E11" s="91"/>
      <c r="F11" s="92"/>
    </row>
    <row r="12" spans="1:6" ht="30" customHeight="1" x14ac:dyDescent="0.35">
      <c r="C12" s="80">
        <v>14.8</v>
      </c>
      <c r="D12" s="25" t="s">
        <v>238</v>
      </c>
      <c r="E12" s="26"/>
      <c r="F12" s="40"/>
    </row>
    <row r="13" spans="1:6" x14ac:dyDescent="0.35">
      <c r="C13" s="200" t="s">
        <v>12</v>
      </c>
      <c r="D13" s="201"/>
      <c r="E13" s="196">
        <f>SUM(COUNTIF(E5:E12,{"yes","na"}))</f>
        <v>0</v>
      </c>
      <c r="F13" s="197"/>
    </row>
    <row r="14" spans="1:6" ht="15" thickBot="1" x14ac:dyDescent="0.4">
      <c r="C14" s="198" t="s">
        <v>13</v>
      </c>
      <c r="D14" s="199"/>
      <c r="E14" s="194">
        <f>E13/8</f>
        <v>0</v>
      </c>
      <c r="F14" s="195"/>
    </row>
  </sheetData>
  <mergeCells count="6">
    <mergeCell ref="A1:B1"/>
    <mergeCell ref="C3:F3"/>
    <mergeCell ref="C13:D13"/>
    <mergeCell ref="E13:F13"/>
    <mergeCell ref="E14:F14"/>
    <mergeCell ref="C14:D14"/>
  </mergeCells>
  <dataValidations count="1">
    <dataValidation type="list" allowBlank="1" showInputMessage="1" showErrorMessage="1" sqref="E5:E12" xr:uid="{00000000-0002-0000-1F00-000000000000}">
      <formula1>"Yes,No,NA"</formula1>
    </dataValidation>
  </dataValidations>
  <hyperlinks>
    <hyperlink ref="A1:B1" location="'Overview &amp; Scores'!A1" display="Overview &amp; Scores" xr:uid="{5B0F7300-6970-4085-BA48-1E1B31E2A992}"/>
  </hyperlinks>
  <pageMargins left="0.7" right="0.7" top="0.75" bottom="0.75" header="0.3" footer="0.3"/>
  <pageSetup paperSize="9" scale="88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3F2C-503A-45BD-99F7-0C86500A762D}">
  <dimension ref="A1:A17"/>
  <sheetViews>
    <sheetView workbookViewId="0">
      <selection activeCell="A21" sqref="A21"/>
    </sheetView>
  </sheetViews>
  <sheetFormatPr defaultRowHeight="14.5" x14ac:dyDescent="0.35"/>
  <sheetData>
    <row r="1" spans="1:1" x14ac:dyDescent="0.35">
      <c r="A1" t="s">
        <v>110</v>
      </c>
    </row>
    <row r="2" spans="1:1" x14ac:dyDescent="0.35">
      <c r="A2" t="s">
        <v>111</v>
      </c>
    </row>
    <row r="3" spans="1:1" x14ac:dyDescent="0.35">
      <c r="A3" t="s">
        <v>70</v>
      </c>
    </row>
    <row r="4" spans="1:1" x14ac:dyDescent="0.35">
      <c r="A4" t="s">
        <v>112</v>
      </c>
    </row>
    <row r="5" spans="1:1" x14ac:dyDescent="0.35">
      <c r="A5" t="s">
        <v>113</v>
      </c>
    </row>
    <row r="6" spans="1:1" x14ac:dyDescent="0.35">
      <c r="A6" t="s">
        <v>71</v>
      </c>
    </row>
    <row r="7" spans="1:1" x14ac:dyDescent="0.35">
      <c r="A7" t="s">
        <v>72</v>
      </c>
    </row>
    <row r="8" spans="1:1" x14ac:dyDescent="0.35">
      <c r="A8" t="s">
        <v>114</v>
      </c>
    </row>
    <row r="9" spans="1:1" x14ac:dyDescent="0.35">
      <c r="A9" t="s">
        <v>115</v>
      </c>
    </row>
    <row r="10" spans="1:1" x14ac:dyDescent="0.35">
      <c r="A10" t="s">
        <v>73</v>
      </c>
    </row>
    <row r="11" spans="1:1" x14ac:dyDescent="0.35">
      <c r="A11" t="s">
        <v>74</v>
      </c>
    </row>
    <row r="12" spans="1:1" x14ac:dyDescent="0.35">
      <c r="A12" t="s">
        <v>75</v>
      </c>
    </row>
    <row r="13" spans="1:1" x14ac:dyDescent="0.35">
      <c r="A13" t="s">
        <v>76</v>
      </c>
    </row>
    <row r="14" spans="1:1" x14ac:dyDescent="0.35">
      <c r="A14" t="s">
        <v>116</v>
      </c>
    </row>
    <row r="16" spans="1:1" x14ac:dyDescent="0.35">
      <c r="A16" t="s">
        <v>108</v>
      </c>
    </row>
    <row r="17" spans="1:1" x14ac:dyDescent="0.35">
      <c r="A17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A934-7F29-42E1-9FEE-D0F29EFAB6D3}">
  <dimension ref="A1:L33"/>
  <sheetViews>
    <sheetView zoomScale="90" zoomScaleNormal="90" workbookViewId="0">
      <selection activeCell="E6" sqref="E6"/>
    </sheetView>
  </sheetViews>
  <sheetFormatPr defaultRowHeight="14.5" x14ac:dyDescent="0.35"/>
  <cols>
    <col min="1" max="1" width="4.81640625" customWidth="1"/>
    <col min="2" max="2" width="20.7265625" customWidth="1"/>
    <col min="3" max="3" width="30.7265625" customWidth="1"/>
    <col min="4" max="4" width="12.7265625" customWidth="1"/>
    <col min="5" max="5" width="45.7265625" customWidth="1"/>
    <col min="6" max="6" width="20.7265625" customWidth="1"/>
    <col min="7" max="8" width="12.7265625" customWidth="1"/>
    <col min="9" max="9" width="16.7265625" customWidth="1"/>
    <col min="10" max="10" width="45.7265625" customWidth="1"/>
    <col min="11" max="11" width="17.7265625" customWidth="1"/>
    <col min="12" max="12" width="12.7265625" customWidth="1"/>
  </cols>
  <sheetData>
    <row r="1" spans="1:12" x14ac:dyDescent="0.35">
      <c r="A1" s="125" t="s">
        <v>240</v>
      </c>
      <c r="B1" s="125"/>
    </row>
    <row r="2" spans="1:12" x14ac:dyDescent="0.35">
      <c r="B2" s="109" t="s">
        <v>107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ht="15" thickBot="1" x14ac:dyDescent="0.4"/>
    <row r="4" spans="1:12" x14ac:dyDescent="0.35">
      <c r="I4" s="257" t="s">
        <v>99</v>
      </c>
      <c r="J4" s="258"/>
      <c r="K4" s="258"/>
      <c r="L4" s="259"/>
    </row>
    <row r="5" spans="1:12" ht="59.25" customHeight="1" thickBot="1" x14ac:dyDescent="0.4">
      <c r="B5" s="65" t="s">
        <v>117</v>
      </c>
      <c r="C5" s="66" t="s">
        <v>119</v>
      </c>
      <c r="D5" s="66" t="s">
        <v>100</v>
      </c>
      <c r="E5" s="66" t="s">
        <v>120</v>
      </c>
      <c r="F5" s="66" t="s">
        <v>101</v>
      </c>
      <c r="G5" s="67" t="s">
        <v>118</v>
      </c>
      <c r="H5" s="67" t="s">
        <v>102</v>
      </c>
      <c r="I5" s="68" t="s">
        <v>103</v>
      </c>
      <c r="J5" s="66" t="s">
        <v>104</v>
      </c>
      <c r="K5" s="66" t="s">
        <v>105</v>
      </c>
      <c r="L5" s="67" t="s">
        <v>106</v>
      </c>
    </row>
    <row r="6" spans="1:12" x14ac:dyDescent="0.35">
      <c r="B6" s="69"/>
      <c r="C6" s="31"/>
      <c r="D6" s="70"/>
      <c r="E6" s="31"/>
      <c r="F6" s="31"/>
      <c r="G6" s="71"/>
      <c r="H6" s="71"/>
      <c r="I6" s="72"/>
      <c r="J6" s="31"/>
      <c r="K6" s="31"/>
      <c r="L6" s="71"/>
    </row>
    <row r="7" spans="1:12" x14ac:dyDescent="0.35">
      <c r="B7" s="73"/>
      <c r="C7" s="22"/>
      <c r="D7" s="22"/>
      <c r="E7" s="22"/>
      <c r="F7" s="22"/>
      <c r="G7" s="74"/>
      <c r="H7" s="74"/>
      <c r="I7" s="75"/>
      <c r="J7" s="22"/>
      <c r="K7" s="22"/>
      <c r="L7" s="74"/>
    </row>
    <row r="8" spans="1:12" x14ac:dyDescent="0.35">
      <c r="B8" s="73"/>
      <c r="C8" s="22"/>
      <c r="D8" s="22"/>
      <c r="E8" s="22"/>
      <c r="F8" s="22"/>
      <c r="G8" s="74"/>
      <c r="H8" s="74"/>
      <c r="I8" s="75"/>
      <c r="J8" s="22"/>
      <c r="K8" s="22"/>
      <c r="L8" s="74"/>
    </row>
    <row r="9" spans="1:12" x14ac:dyDescent="0.35">
      <c r="B9" s="73"/>
      <c r="C9" s="22"/>
      <c r="D9" s="22"/>
      <c r="E9" s="22"/>
      <c r="F9" s="22"/>
      <c r="G9" s="74"/>
      <c r="H9" s="74"/>
      <c r="I9" s="75"/>
      <c r="J9" s="22"/>
      <c r="K9" s="22"/>
      <c r="L9" s="74"/>
    </row>
    <row r="10" spans="1:12" x14ac:dyDescent="0.35">
      <c r="B10" s="73"/>
      <c r="C10" s="22"/>
      <c r="D10" s="22"/>
      <c r="E10" s="22"/>
      <c r="F10" s="22"/>
      <c r="G10" s="74"/>
      <c r="H10" s="74"/>
      <c r="I10" s="75"/>
      <c r="J10" s="22"/>
      <c r="K10" s="22"/>
      <c r="L10" s="74"/>
    </row>
    <row r="11" spans="1:12" x14ac:dyDescent="0.35">
      <c r="B11" s="73"/>
      <c r="C11" s="22"/>
      <c r="D11" s="22"/>
      <c r="E11" s="22"/>
      <c r="F11" s="22"/>
      <c r="G11" s="74"/>
      <c r="H11" s="74"/>
      <c r="I11" s="75"/>
      <c r="J11" s="22"/>
      <c r="K11" s="22"/>
      <c r="L11" s="74"/>
    </row>
    <row r="12" spans="1:12" x14ac:dyDescent="0.35">
      <c r="B12" s="73"/>
      <c r="C12" s="22"/>
      <c r="D12" s="22"/>
      <c r="E12" s="22"/>
      <c r="F12" s="22"/>
      <c r="G12" s="74"/>
      <c r="H12" s="74"/>
      <c r="I12" s="75"/>
      <c r="J12" s="22"/>
      <c r="K12" s="22"/>
      <c r="L12" s="74"/>
    </row>
    <row r="13" spans="1:12" x14ac:dyDescent="0.35">
      <c r="B13" s="73"/>
      <c r="C13" s="22"/>
      <c r="D13" s="22"/>
      <c r="E13" s="22"/>
      <c r="F13" s="22"/>
      <c r="G13" s="74"/>
      <c r="H13" s="74"/>
      <c r="I13" s="75"/>
      <c r="J13" s="22"/>
      <c r="K13" s="22"/>
      <c r="L13" s="74"/>
    </row>
    <row r="14" spans="1:12" x14ac:dyDescent="0.35">
      <c r="B14" s="73"/>
      <c r="C14" s="22"/>
      <c r="D14" s="22"/>
      <c r="E14" s="22"/>
      <c r="F14" s="22"/>
      <c r="G14" s="74"/>
      <c r="H14" s="74"/>
      <c r="I14" s="75"/>
      <c r="J14" s="22"/>
      <c r="K14" s="22"/>
      <c r="L14" s="74"/>
    </row>
    <row r="15" spans="1:12" x14ac:dyDescent="0.35">
      <c r="B15" s="73"/>
      <c r="C15" s="22"/>
      <c r="D15" s="22"/>
      <c r="E15" s="22"/>
      <c r="F15" s="22"/>
      <c r="G15" s="74"/>
      <c r="H15" s="74"/>
      <c r="I15" s="75"/>
      <c r="J15" s="22"/>
      <c r="K15" s="22"/>
      <c r="L15" s="74"/>
    </row>
    <row r="16" spans="1:12" x14ac:dyDescent="0.35">
      <c r="B16" s="73"/>
      <c r="C16" s="22"/>
      <c r="D16" s="22"/>
      <c r="E16" s="22"/>
      <c r="F16" s="22"/>
      <c r="G16" s="74"/>
      <c r="H16" s="74"/>
      <c r="I16" s="75"/>
      <c r="J16" s="22"/>
      <c r="K16" s="22"/>
      <c r="L16" s="74"/>
    </row>
    <row r="17" spans="2:12" x14ac:dyDescent="0.35">
      <c r="B17" s="73"/>
      <c r="C17" s="22"/>
      <c r="D17" s="22"/>
      <c r="E17" s="22"/>
      <c r="F17" s="22"/>
      <c r="G17" s="74"/>
      <c r="H17" s="74"/>
      <c r="I17" s="75"/>
      <c r="J17" s="22"/>
      <c r="K17" s="22"/>
      <c r="L17" s="74"/>
    </row>
    <row r="18" spans="2:12" x14ac:dyDescent="0.35">
      <c r="B18" s="73"/>
      <c r="C18" s="22"/>
      <c r="D18" s="22"/>
      <c r="E18" s="22"/>
      <c r="F18" s="22"/>
      <c r="G18" s="74"/>
      <c r="H18" s="74"/>
      <c r="I18" s="75"/>
      <c r="J18" s="22"/>
      <c r="K18" s="22"/>
      <c r="L18" s="74"/>
    </row>
    <row r="19" spans="2:12" x14ac:dyDescent="0.35">
      <c r="B19" s="73"/>
      <c r="C19" s="22"/>
      <c r="D19" s="22"/>
      <c r="E19" s="22"/>
      <c r="F19" s="22"/>
      <c r="G19" s="74"/>
      <c r="H19" s="74"/>
      <c r="I19" s="75"/>
      <c r="J19" s="22"/>
      <c r="K19" s="22"/>
      <c r="L19" s="74"/>
    </row>
    <row r="20" spans="2:12" x14ac:dyDescent="0.35">
      <c r="B20" s="73"/>
      <c r="C20" s="22"/>
      <c r="D20" s="22"/>
      <c r="E20" s="22"/>
      <c r="F20" s="22"/>
      <c r="G20" s="74"/>
      <c r="H20" s="74"/>
      <c r="I20" s="75"/>
      <c r="J20" s="22"/>
      <c r="K20" s="22"/>
      <c r="L20" s="74"/>
    </row>
    <row r="21" spans="2:12" x14ac:dyDescent="0.35">
      <c r="B21" s="73"/>
      <c r="C21" s="22"/>
      <c r="D21" s="22"/>
      <c r="E21" s="22"/>
      <c r="F21" s="22"/>
      <c r="G21" s="74"/>
      <c r="H21" s="74"/>
      <c r="I21" s="75"/>
      <c r="J21" s="22"/>
      <c r="K21" s="22"/>
      <c r="L21" s="74"/>
    </row>
    <row r="22" spans="2:12" x14ac:dyDescent="0.35">
      <c r="B22" s="73"/>
      <c r="C22" s="22"/>
      <c r="D22" s="22"/>
      <c r="E22" s="22"/>
      <c r="F22" s="22"/>
      <c r="G22" s="74"/>
      <c r="H22" s="74"/>
      <c r="I22" s="75"/>
      <c r="J22" s="22"/>
      <c r="K22" s="22"/>
      <c r="L22" s="74"/>
    </row>
    <row r="23" spans="2:12" x14ac:dyDescent="0.35">
      <c r="B23" s="73"/>
      <c r="C23" s="22"/>
      <c r="D23" s="22"/>
      <c r="E23" s="22"/>
      <c r="F23" s="22"/>
      <c r="G23" s="74"/>
      <c r="H23" s="74"/>
      <c r="I23" s="75"/>
      <c r="J23" s="22"/>
      <c r="K23" s="22"/>
      <c r="L23" s="74"/>
    </row>
    <row r="24" spans="2:12" x14ac:dyDescent="0.35">
      <c r="B24" s="73"/>
      <c r="C24" s="22"/>
      <c r="D24" s="22"/>
      <c r="E24" s="22"/>
      <c r="F24" s="22"/>
      <c r="G24" s="74"/>
      <c r="H24" s="74"/>
      <c r="I24" s="75"/>
      <c r="J24" s="22"/>
      <c r="K24" s="22"/>
      <c r="L24" s="74"/>
    </row>
    <row r="25" spans="2:12" x14ac:dyDescent="0.35">
      <c r="B25" s="73"/>
      <c r="C25" s="22"/>
      <c r="D25" s="22"/>
      <c r="E25" s="22"/>
      <c r="F25" s="22"/>
      <c r="G25" s="74"/>
      <c r="H25" s="74"/>
      <c r="I25" s="75"/>
      <c r="J25" s="22"/>
      <c r="K25" s="22"/>
      <c r="L25" s="74"/>
    </row>
    <row r="26" spans="2:12" x14ac:dyDescent="0.35">
      <c r="B26" s="73"/>
      <c r="C26" s="22"/>
      <c r="D26" s="22"/>
      <c r="E26" s="22"/>
      <c r="F26" s="22"/>
      <c r="G26" s="74"/>
      <c r="H26" s="74"/>
      <c r="I26" s="75"/>
      <c r="J26" s="22"/>
      <c r="K26" s="22"/>
      <c r="L26" s="74"/>
    </row>
    <row r="27" spans="2:12" x14ac:dyDescent="0.35">
      <c r="B27" s="73"/>
      <c r="C27" s="22"/>
      <c r="D27" s="22"/>
      <c r="E27" s="22"/>
      <c r="F27" s="22"/>
      <c r="G27" s="74"/>
      <c r="H27" s="74"/>
      <c r="I27" s="75"/>
      <c r="J27" s="22"/>
      <c r="K27" s="22"/>
      <c r="L27" s="74"/>
    </row>
    <row r="28" spans="2:12" x14ac:dyDescent="0.35">
      <c r="B28" s="73"/>
      <c r="C28" s="22"/>
      <c r="D28" s="22"/>
      <c r="E28" s="22"/>
      <c r="F28" s="22"/>
      <c r="G28" s="74"/>
      <c r="H28" s="74"/>
      <c r="I28" s="75"/>
      <c r="J28" s="22"/>
      <c r="K28" s="22"/>
      <c r="L28" s="74"/>
    </row>
    <row r="29" spans="2:12" x14ac:dyDescent="0.35">
      <c r="B29" s="73"/>
      <c r="C29" s="22"/>
      <c r="D29" s="22"/>
      <c r="E29" s="22"/>
      <c r="F29" s="22"/>
      <c r="G29" s="74"/>
      <c r="H29" s="74"/>
      <c r="I29" s="75"/>
      <c r="J29" s="22"/>
      <c r="K29" s="22"/>
      <c r="L29" s="74"/>
    </row>
    <row r="30" spans="2:12" x14ac:dyDescent="0.35">
      <c r="B30" s="73"/>
      <c r="C30" s="22"/>
      <c r="D30" s="22"/>
      <c r="E30" s="22"/>
      <c r="F30" s="22"/>
      <c r="G30" s="74"/>
      <c r="H30" s="74"/>
      <c r="I30" s="75"/>
      <c r="J30" s="22"/>
      <c r="K30" s="22"/>
      <c r="L30" s="74"/>
    </row>
    <row r="31" spans="2:12" x14ac:dyDescent="0.35">
      <c r="B31" s="73"/>
      <c r="C31" s="22"/>
      <c r="D31" s="22"/>
      <c r="E31" s="22"/>
      <c r="F31" s="22"/>
      <c r="G31" s="74"/>
      <c r="H31" s="74"/>
      <c r="I31" s="75"/>
      <c r="J31" s="22"/>
      <c r="K31" s="22"/>
      <c r="L31" s="74"/>
    </row>
    <row r="32" spans="2:12" x14ac:dyDescent="0.35">
      <c r="B32" s="73"/>
      <c r="C32" s="22"/>
      <c r="D32" s="22"/>
      <c r="E32" s="22"/>
      <c r="F32" s="22"/>
      <c r="G32" s="74"/>
      <c r="H32" s="74"/>
      <c r="I32" s="75"/>
      <c r="J32" s="22"/>
      <c r="K32" s="22"/>
      <c r="L32" s="74"/>
    </row>
    <row r="33" spans="2:12" x14ac:dyDescent="0.35">
      <c r="B33" s="76"/>
      <c r="C33" s="25"/>
      <c r="D33" s="25"/>
      <c r="E33" s="25"/>
      <c r="F33" s="25"/>
      <c r="G33" s="77"/>
      <c r="H33" s="77"/>
      <c r="I33" s="78"/>
      <c r="J33" s="25"/>
      <c r="K33" s="25"/>
      <c r="L33" s="77"/>
    </row>
  </sheetData>
  <mergeCells count="3">
    <mergeCell ref="B2:L2"/>
    <mergeCell ref="I4:L4"/>
    <mergeCell ref="A1:B1"/>
  </mergeCells>
  <hyperlinks>
    <hyperlink ref="A1:B1" location="'Overview &amp; Scores'!A1" display="Overview &amp; Scores" xr:uid="{BD69A01A-664B-4613-9748-8C7A41855CFE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8DBFEE-9631-4BDA-8473-13FDBB586945}">
          <x14:formula1>
            <xm:f>Validation!$A$1:$A$14</xm:f>
          </x14:formula1>
          <xm:sqref>B6:B33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A63"/>
  <sheetViews>
    <sheetView workbookViewId="0">
      <selection activeCell="A59" sqref="A59"/>
    </sheetView>
  </sheetViews>
  <sheetFormatPr defaultRowHeight="14.5" x14ac:dyDescent="0.35"/>
  <cols>
    <col min="1" max="1" width="151.7265625" bestFit="1" customWidth="1"/>
  </cols>
  <sheetData>
    <row r="1" spans="1:1" ht="15.5" x14ac:dyDescent="0.35">
      <c r="A1" s="2" t="s">
        <v>33</v>
      </c>
    </row>
    <row r="2" spans="1:1" x14ac:dyDescent="0.35">
      <c r="A2" s="3" t="s">
        <v>34</v>
      </c>
    </row>
    <row r="3" spans="1:1" x14ac:dyDescent="0.35">
      <c r="A3" s="3"/>
    </row>
    <row r="4" spans="1:1" ht="15.5" x14ac:dyDescent="0.35">
      <c r="A4" s="2" t="s">
        <v>35</v>
      </c>
    </row>
    <row r="5" spans="1:1" ht="15.5" x14ac:dyDescent="0.35">
      <c r="A5" s="2"/>
    </row>
    <row r="6" spans="1:1" ht="15.5" x14ac:dyDescent="0.35">
      <c r="A6" s="2" t="s">
        <v>36</v>
      </c>
    </row>
    <row r="7" spans="1:1" ht="15.5" x14ac:dyDescent="0.35">
      <c r="A7" s="2"/>
    </row>
    <row r="8" spans="1:1" ht="15.5" x14ac:dyDescent="0.35">
      <c r="A8" s="2" t="s">
        <v>37</v>
      </c>
    </row>
    <row r="9" spans="1:1" ht="15.5" x14ac:dyDescent="0.35">
      <c r="A9" s="2"/>
    </row>
    <row r="10" spans="1:1" ht="15.5" x14ac:dyDescent="0.35">
      <c r="A10" s="2" t="s">
        <v>38</v>
      </c>
    </row>
    <row r="11" spans="1:1" ht="15.5" x14ac:dyDescent="0.35">
      <c r="A11" s="2"/>
    </row>
    <row r="12" spans="1:1" ht="15.5" x14ac:dyDescent="0.35">
      <c r="A12" s="2" t="s">
        <v>39</v>
      </c>
    </row>
    <row r="13" spans="1:1" ht="15.5" x14ac:dyDescent="0.35">
      <c r="A13" s="2"/>
    </row>
    <row r="14" spans="1:1" ht="15.5" x14ac:dyDescent="0.35">
      <c r="A14" s="2" t="s">
        <v>40</v>
      </c>
    </row>
    <row r="15" spans="1:1" ht="15.5" x14ac:dyDescent="0.35">
      <c r="A15" s="2"/>
    </row>
    <row r="16" spans="1:1" ht="15.5" x14ac:dyDescent="0.35">
      <c r="A16" s="2" t="s">
        <v>41</v>
      </c>
    </row>
    <row r="17" spans="1:1" ht="15.5" x14ac:dyDescent="0.35">
      <c r="A17" s="2"/>
    </row>
    <row r="18" spans="1:1" ht="15.5" x14ac:dyDescent="0.35">
      <c r="A18" s="2" t="s">
        <v>42</v>
      </c>
    </row>
    <row r="19" spans="1:1" ht="15.5" x14ac:dyDescent="0.35">
      <c r="A19" s="2"/>
    </row>
    <row r="20" spans="1:1" ht="15.5" x14ac:dyDescent="0.35">
      <c r="A20" s="2" t="s">
        <v>43</v>
      </c>
    </row>
    <row r="21" spans="1:1" ht="15.5" x14ac:dyDescent="0.35">
      <c r="A21" s="2"/>
    </row>
    <row r="22" spans="1:1" ht="15.5" x14ac:dyDescent="0.35">
      <c r="A22" s="2" t="s">
        <v>44</v>
      </c>
    </row>
    <row r="23" spans="1:1" ht="15.5" x14ac:dyDescent="0.35">
      <c r="A23" s="2"/>
    </row>
    <row r="24" spans="1:1" ht="15.5" x14ac:dyDescent="0.35">
      <c r="A24" s="4" t="s">
        <v>45</v>
      </c>
    </row>
    <row r="25" spans="1:1" ht="15.5" x14ac:dyDescent="0.35">
      <c r="A25" s="4"/>
    </row>
    <row r="26" spans="1:1" ht="15.5" x14ac:dyDescent="0.35">
      <c r="A26" s="2" t="s">
        <v>46</v>
      </c>
    </row>
    <row r="27" spans="1:1" ht="15.5" x14ac:dyDescent="0.35">
      <c r="A27" s="2"/>
    </row>
    <row r="28" spans="1:1" ht="15.5" x14ac:dyDescent="0.35">
      <c r="A28" s="2" t="s">
        <v>47</v>
      </c>
    </row>
    <row r="29" spans="1:1" x14ac:dyDescent="0.35">
      <c r="A29" s="3" t="s">
        <v>48</v>
      </c>
    </row>
    <row r="30" spans="1:1" x14ac:dyDescent="0.35">
      <c r="A30" s="3"/>
    </row>
    <row r="31" spans="1:1" ht="15.5" x14ac:dyDescent="0.35">
      <c r="A31" s="2" t="s">
        <v>49</v>
      </c>
    </row>
    <row r="32" spans="1:1" ht="15.5" x14ac:dyDescent="0.35">
      <c r="A32" s="2"/>
    </row>
    <row r="33" spans="1:1" ht="15.5" x14ac:dyDescent="0.35">
      <c r="A33" s="2" t="s">
        <v>50</v>
      </c>
    </row>
    <row r="34" spans="1:1" ht="15.5" x14ac:dyDescent="0.35">
      <c r="A34" s="2"/>
    </row>
    <row r="35" spans="1:1" ht="15.5" x14ac:dyDescent="0.35">
      <c r="A35" s="2" t="s">
        <v>51</v>
      </c>
    </row>
    <row r="36" spans="1:1" x14ac:dyDescent="0.35">
      <c r="A36" s="3" t="s">
        <v>52</v>
      </c>
    </row>
    <row r="37" spans="1:1" x14ac:dyDescent="0.35">
      <c r="A37" s="3"/>
    </row>
    <row r="38" spans="1:1" ht="15.5" x14ac:dyDescent="0.35">
      <c r="A38" s="2" t="s">
        <v>53</v>
      </c>
    </row>
    <row r="39" spans="1:1" x14ac:dyDescent="0.35">
      <c r="A39" s="3" t="s">
        <v>54</v>
      </c>
    </row>
    <row r="40" spans="1:1" x14ac:dyDescent="0.35">
      <c r="A40" s="3"/>
    </row>
    <row r="41" spans="1:1" ht="15.5" x14ac:dyDescent="0.35">
      <c r="A41" s="2" t="s">
        <v>55</v>
      </c>
    </row>
    <row r="42" spans="1:1" ht="15.5" x14ac:dyDescent="0.35">
      <c r="A42" s="2"/>
    </row>
    <row r="43" spans="1:1" ht="15.5" x14ac:dyDescent="0.35">
      <c r="A43" s="2" t="s">
        <v>56</v>
      </c>
    </row>
    <row r="44" spans="1:1" x14ac:dyDescent="0.35">
      <c r="A44" s="3" t="s">
        <v>57</v>
      </c>
    </row>
    <row r="45" spans="1:1" x14ac:dyDescent="0.35">
      <c r="A45" s="3"/>
    </row>
    <row r="46" spans="1:1" ht="15.5" x14ac:dyDescent="0.35">
      <c r="A46" s="2" t="s">
        <v>58</v>
      </c>
    </row>
    <row r="47" spans="1:1" ht="15.5" x14ac:dyDescent="0.35">
      <c r="A47" s="2"/>
    </row>
    <row r="48" spans="1:1" ht="15.5" x14ac:dyDescent="0.35">
      <c r="A48" s="2" t="s">
        <v>59</v>
      </c>
    </row>
    <row r="49" spans="1:1" ht="15.5" x14ac:dyDescent="0.35">
      <c r="A49" s="2"/>
    </row>
    <row r="50" spans="1:1" ht="15.5" x14ac:dyDescent="0.35">
      <c r="A50" s="2" t="s">
        <v>60</v>
      </c>
    </row>
    <row r="51" spans="1:1" ht="15.5" x14ac:dyDescent="0.35">
      <c r="A51" s="2"/>
    </row>
    <row r="52" spans="1:1" ht="15.5" x14ac:dyDescent="0.35">
      <c r="A52" s="2" t="s">
        <v>61</v>
      </c>
    </row>
    <row r="53" spans="1:1" ht="15.5" x14ac:dyDescent="0.35">
      <c r="A53" s="2"/>
    </row>
    <row r="54" spans="1:1" ht="15.5" x14ac:dyDescent="0.35">
      <c r="A54" s="2" t="s">
        <v>62</v>
      </c>
    </row>
    <row r="55" spans="1:1" ht="15.5" x14ac:dyDescent="0.35">
      <c r="A55" s="2"/>
    </row>
    <row r="56" spans="1:1" ht="15.5" x14ac:dyDescent="0.35">
      <c r="A56" s="2" t="s">
        <v>63</v>
      </c>
    </row>
    <row r="57" spans="1:1" x14ac:dyDescent="0.35">
      <c r="A57" s="3" t="s">
        <v>64</v>
      </c>
    </row>
    <row r="58" spans="1:1" x14ac:dyDescent="0.35">
      <c r="A58" s="3"/>
    </row>
    <row r="59" spans="1:1" ht="15.5" x14ac:dyDescent="0.35">
      <c r="A59" s="2" t="s">
        <v>65</v>
      </c>
    </row>
    <row r="60" spans="1:1" ht="15.5" x14ac:dyDescent="0.35">
      <c r="A60" s="2"/>
    </row>
    <row r="61" spans="1:1" ht="15.5" x14ac:dyDescent="0.35">
      <c r="A61" s="2" t="s">
        <v>66</v>
      </c>
    </row>
    <row r="62" spans="1:1" ht="15.5" x14ac:dyDescent="0.35">
      <c r="A62" s="2"/>
    </row>
    <row r="63" spans="1:1" ht="15.5" x14ac:dyDescent="0.35">
      <c r="A63" s="2" t="s">
        <v>67</v>
      </c>
    </row>
  </sheetData>
  <hyperlinks>
    <hyperlink ref="A2" r:id="rId1" display="http://eur-lex.europa.eu/legal-content/EN/TXT/?uri=celex%3A32010L0032" xr:uid="{00000000-0004-0000-2000-000000000000}"/>
    <hyperlink ref="A29" r:id="rId2" display="http://www.hse.gov.uk/healthservices/needlesticks/eu-directive.htm" xr:uid="{00000000-0004-0000-2000-000001000000}"/>
    <hyperlink ref="A36" r:id="rId3" display="http://www.hse.gov.uk/riddor" xr:uid="{00000000-0004-0000-2000-000002000000}"/>
    <hyperlink ref="A39" r:id="rId4" display="http://www.hse.gov.uk/coshh" xr:uid="{00000000-0004-0000-2000-000003000000}"/>
    <hyperlink ref="A44" r:id="rId5" display="http://www.journalofhospitalinfection.com/article/S0195-6701(06)00002-8/fulltext" xr:uid="{00000000-0004-0000-2000-000004000000}"/>
    <hyperlink ref="A57" r:id="rId6" display="https://www.nice.org.uk/guidance/qs113" xr:uid="{00000000-0004-0000-2000-000005000000}"/>
  </hyperlinks>
  <pageMargins left="0.7" right="0.7" top="0.75" bottom="0.75" header="0.3" footer="0.3"/>
  <pageSetup paperSize="9" scale="53" orientation="landscape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Overview &amp; Scores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Validation</vt:lpstr>
      <vt:lpstr>Action Plan</vt:lpstr>
      <vt:lpstr>References</vt:lpstr>
    </vt:vector>
  </TitlesOfParts>
  <Company>CMCSU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Hayward Jennifer</dc:creator>
  <cp:lastModifiedBy>Dursha Krishan</cp:lastModifiedBy>
  <cp:lastPrinted>2026-05-30T12:39:44Z</cp:lastPrinted>
  <dcterms:created xsi:type="dcterms:W3CDTF">2016-03-30T13:39:23Z</dcterms:created>
  <dcterms:modified xsi:type="dcterms:W3CDTF">2026-05-30T12:40:41Z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d8be9e-c8d9-4b9c-bd40-2c27cc7ea2e6_Enabled">
    <vt:lpwstr>true</vt:lpwstr>
  </property>
  <property fmtid="{D5CDD505-2E9C-101B-9397-08002B2CF9AE}" pid="3" name="MSIP_Label_39d8be9e-c8d9-4b9c-bd40-2c27cc7ea2e6_SetDate">
    <vt:lpwstr>2024-08-28T11:13:52Z</vt:lpwstr>
  </property>
  <property fmtid="{D5CDD505-2E9C-101B-9397-08002B2CF9AE}" pid="4" name="MSIP_Label_39d8be9e-c8d9-4b9c-bd40-2c27cc7ea2e6_Method">
    <vt:lpwstr>Standard</vt:lpwstr>
  </property>
  <property fmtid="{D5CDD505-2E9C-101B-9397-08002B2CF9AE}" pid="5" name="MSIP_Label_39d8be9e-c8d9-4b9c-bd40-2c27cc7ea2e6_Name">
    <vt:lpwstr>39d8be9e-c8d9-4b9c-bd40-2c27cc7ea2e6</vt:lpwstr>
  </property>
  <property fmtid="{D5CDD505-2E9C-101B-9397-08002B2CF9AE}" pid="6" name="MSIP_Label_39d8be9e-c8d9-4b9c-bd40-2c27cc7ea2e6_SiteId">
    <vt:lpwstr>a8b4324f-155c-4215-a0f1-7ed8cc9a992f</vt:lpwstr>
  </property>
  <property fmtid="{D5CDD505-2E9C-101B-9397-08002B2CF9AE}" pid="7" name="MSIP_Label_39d8be9e-c8d9-4b9c-bd40-2c27cc7ea2e6_ActionId">
    <vt:lpwstr>5e280f10-f556-4a32-879a-ab881141d3c3</vt:lpwstr>
  </property>
  <property fmtid="{D5CDD505-2E9C-101B-9397-08002B2CF9AE}" pid="8" name="MSIP_Label_39d8be9e-c8d9-4b9c-bd40-2c27cc7ea2e6_ContentBits">
    <vt:lpwstr>0</vt:lpwstr>
  </property>
</Properties>
</file>